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ormalized" sheetId="2" state="visible" r:id="rId4"/>
    <sheet name="Eligibility" sheetId="3" state="visible" r:id="rId5"/>
    <sheet name="Split award" sheetId="4" state="visible" r:id="rId6"/>
    <sheet name="Expected flags" sheetId="5" state="visible" r:id="rId7"/>
    <sheet name="Commercial term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<sst xmlns="http://schemas.openxmlformats.org/spreadsheetml/2006/main" count="247" uniqueCount="158">
  <si>
    <t xml:space="preserve">ANSWER KEY - Kill the Quote Spreadsheet demo dataset</t>
  </si>
  <si>
    <t xml:space="preserve">Category: corrugated packaging. Buyer: consumer electronics maker, Pune plant. Annual spend about Rs 4 crore at these quantities.</t>
  </si>
  <si>
    <t xml:space="preserve">FX assumption: 1 USD = 85.0 INR (demo rate, configurable in the app). GST and freight are not added to any price.</t>
  </si>
  <si>
    <t xml:space="preserve">Vendor B prices are shown NET of the 4% footnote discount, and only after the buyer confirms 1 box = 1 piece for the per-100-pcs lines.</t>
  </si>
  <si>
    <t xml:space="preserve">Vendor E 'rest same as last year' is shown in the Om Sai assumed column; the app should flag it as an unconfirmed baseline, not a quote.</t>
  </si>
  <si>
    <t xml:space="preserve">Quality gate = ISO 9001 Yes AND burst test report Yes. Vendor B fails (report pending). Vendor E is unknown (burst not stated).</t>
  </si>
  <si>
    <t xml:space="preserve">Sheets: Normalized (correct INR price per RFx unit), Eligibility, Split award (live formulas), Expected flags, Commercial terms.</t>
  </si>
  <si>
    <t xml:space="preserve">ID</t>
  </si>
  <si>
    <t xml:space="preserve">Item</t>
  </si>
  <si>
    <t xml:space="preserve">UoM</t>
  </si>
  <si>
    <t xml:space="preserve">Annual qty</t>
  </si>
  <si>
    <t xml:space="preserve">A Shree</t>
  </si>
  <si>
    <t xml:space="preserve">B Deccan</t>
  </si>
  <si>
    <t xml:space="preserve">C Pune Box</t>
  </si>
  <si>
    <t xml:space="preserve">D Maruti</t>
  </si>
  <si>
    <t xml:space="preserve">E Om Sai (quoted)</t>
  </si>
  <si>
    <t xml:space="preserve">E Om Sai (assumed = last yr, unconfirmed)</t>
  </si>
  <si>
    <t xml:space="preserve">Last year rate</t>
  </si>
  <si>
    <t xml:space="preserve">Notes</t>
  </si>
  <si>
    <t xml:space="preserve">3-ply RSC shipper box 12x10x8 in</t>
  </si>
  <si>
    <t xml:space="preserve">box</t>
  </si>
  <si>
    <t xml:space="preserve">3-ply RSC shipper box 14x12x10 in</t>
  </si>
  <si>
    <t xml:space="preserve">3-ply RSC shipper box 16x12x10 in</t>
  </si>
  <si>
    <t xml:space="preserve">3-ply RSC shipper box 18x14x12 in</t>
  </si>
  <si>
    <t xml:space="preserve">3-ply RSC shipper box 20x16x12 in</t>
  </si>
  <si>
    <t xml:space="preserve">5-ply RSC shipper box 12x10x8 in</t>
  </si>
  <si>
    <t xml:space="preserve">B quoted per 100 pcs; UNIT_MISMATCH until confirmed; net of 4% discount</t>
  </si>
  <si>
    <t xml:space="preserve">5-ply RSC shipper box 14x12x10 in</t>
  </si>
  <si>
    <t xml:space="preserve">5-ply RSC shipper box 16x12x10 in</t>
  </si>
  <si>
    <t xml:space="preserve">5-ply RSC shipper box 18x14x12 in</t>
  </si>
  <si>
    <t xml:space="preserve">B quoted per 100 pcs; UNIT_MISMATCH until confirmed; net of 4% discount; D value unclear in photo (LOW_CONFIDENCE)</t>
  </si>
  <si>
    <t xml:space="preserve">5-ply RSC shipper box 20x16x12 in</t>
  </si>
  <si>
    <t xml:space="preserve">A quoted USD 1.08 x 85.0; B quoted per 100 pcs; UNIT_MISMATCH until confirmed; net of 4% discount</t>
  </si>
  <si>
    <t xml:space="preserve">7-ply RSC shipper box 16x12x10 in</t>
  </si>
  <si>
    <t xml:space="preserve">A quoted USD 0.89 x 85.0</t>
  </si>
  <si>
    <t xml:space="preserve">7-ply RSC shipper box 18x14x12 in</t>
  </si>
  <si>
    <t xml:space="preserve">A quoted USD 1.16 x 85.0</t>
  </si>
  <si>
    <t xml:space="preserve">7-ply RSC shipper box 20x16x12 in</t>
  </si>
  <si>
    <t xml:space="preserve">A quoted USD 1.61 x 85.0; C did not quote (MISSING_ITEM)</t>
  </si>
  <si>
    <t xml:space="preserve">Die-cut mailer Small 8x6x2 in</t>
  </si>
  <si>
    <t xml:space="preserve">piece</t>
  </si>
  <si>
    <t xml:space="preserve">Die-cut mailer Medium 10x8x3 in</t>
  </si>
  <si>
    <t xml:space="preserve">Die-cut mailer Large 12x9x4 in</t>
  </si>
  <si>
    <t xml:space="preserve">D value unclear in photo (LOW_CONFIDENCE)</t>
  </si>
  <si>
    <t xml:space="preserve">Die-cut mailer XL 14x10x5 in</t>
  </si>
  <si>
    <t xml:space="preserve">C did not quote (MISSING_ITEM)</t>
  </si>
  <si>
    <t xml:space="preserve">4-cell partition 12x10 in</t>
  </si>
  <si>
    <t xml:space="preserve">6-cell partition 14x12 in</t>
  </si>
  <si>
    <t xml:space="preserve">9-cell partition 16x12 in</t>
  </si>
  <si>
    <t xml:space="preserve">3-ply corrugated sheet</t>
  </si>
  <si>
    <t xml:space="preserve">kg</t>
  </si>
  <si>
    <t xml:space="preserve">E quoted per kg in email</t>
  </si>
  <si>
    <t xml:space="preserve">5-ply corrugated sheet</t>
  </si>
  <si>
    <t xml:space="preserve">7-ply corrugated sheet</t>
  </si>
  <si>
    <t xml:space="preserve">3-ply corrugated roll 1.6 m</t>
  </si>
  <si>
    <t xml:space="preserve">5-ply corrugated roll 1.6 m</t>
  </si>
  <si>
    <t xml:space="preserve">Edge protector 35x35x3 mm, 1.0 m</t>
  </si>
  <si>
    <t xml:space="preserve">bundle of 25</t>
  </si>
  <si>
    <t xml:space="preserve">Edge protector 50x50x4 mm, 1.2 m</t>
  </si>
  <si>
    <t xml:space="preserve">Edge protector 50x50x5 mm, 1.5 m</t>
  </si>
  <si>
    <t xml:space="preserve">Pallet cap 1200x1000 in</t>
  </si>
  <si>
    <t xml:space="preserve">A quoted USD 0.53 x 85.0</t>
  </si>
  <si>
    <t xml:space="preserve">Pallet cap 1200x800 in</t>
  </si>
  <si>
    <t xml:space="preserve">A quoted USD 0.69 x 85.0</t>
  </si>
  <si>
    <t xml:space="preserve">Vendor</t>
  </si>
  <si>
    <t xml:space="preserve">ISO 9001</t>
  </si>
  <si>
    <t xml:space="preserve">Burst report</t>
  </si>
  <si>
    <t xml:space="preserve">Passes gate (1/0)</t>
  </si>
  <si>
    <t xml:space="preserve">Lead time (days)</t>
  </si>
  <si>
    <t xml:space="preserve">FSC</t>
  </si>
  <si>
    <t xml:space="preserve">60-day terms</t>
  </si>
  <si>
    <t xml:space="preserve">Note</t>
  </si>
  <si>
    <t xml:space="preserve">Yes</t>
  </si>
  <si>
    <t xml:space="preserve">Accepted</t>
  </si>
  <si>
    <t xml:space="preserve">Certificate and report attached</t>
  </si>
  <si>
    <t xml:space="preserve">No</t>
  </si>
  <si>
    <t xml:space="preserve">No (45 days)</t>
  </si>
  <si>
    <t xml:space="preserve">Burst report promised after order</t>
  </si>
  <si>
    <t xml:space="preserve">Report attached to letter</t>
  </si>
  <si>
    <t xml:space="preserve">On request</t>
  </si>
  <si>
    <t xml:space="preserve">No (30 days)</t>
  </si>
  <si>
    <t xml:space="preserve">Report enclosed per rate card</t>
  </si>
  <si>
    <t xml:space="preserve">E Om Sai</t>
  </si>
  <si>
    <t xml:space="preserve">Not stated</t>
  </si>
  <si>
    <t xml:space="preserve">Email only says 'ISO certified'</t>
  </si>
  <si>
    <t xml:space="preserve">Best eligible price</t>
  </si>
  <si>
    <t xml:space="preserve">Winner (eligible)</t>
  </si>
  <si>
    <t xml:space="preserve">Cost at winner</t>
  </si>
  <si>
    <t xml:space="preserve">Best price ignoring gate</t>
  </si>
  <si>
    <t xml:space="preserve">Winner ignoring gate</t>
  </si>
  <si>
    <t xml:space="preserve">Cost ignoring gate</t>
  </si>
  <si>
    <t xml:space="preserve">Last year cost</t>
  </si>
  <si>
    <t xml:space="preserve">TOTALS</t>
  </si>
  <si>
    <t xml:space="preserve">SUMMARY</t>
  </si>
  <si>
    <t xml:space="preserve">Split award, eligible vendors only (VP question)</t>
  </si>
  <si>
    <t xml:space="preserve">Split award, ignoring quality gate</t>
  </si>
  <si>
    <t xml:space="preserve">Last year spend at same quantities</t>
  </si>
  <si>
    <t xml:space="preserve">Savings vs last year (INR)</t>
  </si>
  <si>
    <t xml:space="preserve">Savings vs last year (%)</t>
  </si>
  <si>
    <t xml:space="preserve">Single award A Shree (30 of 30 lines)</t>
  </si>
  <si>
    <t xml:space="preserve">Single award D Maruti (30 of 30 lines)</t>
  </si>
  <si>
    <t xml:space="preserve">Split saving vs best single eligible award (INR)</t>
  </si>
  <si>
    <t xml:space="preserve">Lines C Pune Box actually quoted</t>
  </si>
  <si>
    <t xml:space="preserve">Lines Om Sai actually quoted</t>
  </si>
  <si>
    <t xml:space="preserve">Where</t>
  </si>
  <si>
    <t xml:space="preserve">Expected flag</t>
  </si>
  <si>
    <t xml:space="preserve">What the buyer should see</t>
  </si>
  <si>
    <t xml:space="preserve">Items 11, 12, 13, 10, 29, 30</t>
  </si>
  <si>
    <t xml:space="preserve">CURRENCY_CONVERTED</t>
  </si>
  <si>
    <t xml:space="preserve">INR value, rate 85.0, rate date, original USD kept visible; own-layout Excel with merged cells and section rows still maps to 30 items</t>
  </si>
  <si>
    <t xml:space="preserve">Items 6, 7, 8, 9, 10</t>
  </si>
  <si>
    <t xml:space="preserve">UNIT_MISMATCH</t>
  </si>
  <si>
    <t xml:space="preserve">Rate is per 100 pcs vs RFx unit box. Blocked until buyer confirms 1 box = 1 piece; app may suggest it but must not auto-resolve</t>
  </si>
  <si>
    <t xml:space="preserve">Page footer</t>
  </si>
  <si>
    <t xml:space="preserve">DISCOUNT_FOUND</t>
  </si>
  <si>
    <t xml:space="preserve">4% footnote discount applied only on buyer acceptance; footnote shown as source</t>
  </si>
  <si>
    <t xml:space="preserve">Compliance section</t>
  </si>
  <si>
    <t xml:space="preserve">QUALITY_GATE_FAIL</t>
  </si>
  <si>
    <t xml:space="preserve">Burst report 'after order confirmation' = not provided; excluded from eligible split</t>
  </si>
  <si>
    <t xml:space="preserve">Terms</t>
  </si>
  <si>
    <t xml:space="preserve">AMBIGUOUS_TERM</t>
  </si>
  <si>
    <t xml:space="preserve">Freight 'extra at actuals' with no amount</t>
  </si>
  <si>
    <t xml:space="preserve">Items 13, 17, 28</t>
  </si>
  <si>
    <t xml:space="preserve">MISSING_ITEM x3</t>
  </si>
  <si>
    <t xml:space="preserve">Cells marked 'not quoted'; total labelled 27 of 30 lines</t>
  </si>
  <si>
    <t xml:space="preserve">Paragraph</t>
  </si>
  <si>
    <t xml:space="preserve">TERMS_IN_PROSE</t>
  </si>
  <si>
    <t xml:space="preserve">Freight inclusive only above 500 kg / 200 boxes per drop (conditional); 45-day payment, validity 21 days extracted from a paragraph</t>
  </si>
  <si>
    <t xml:space="preserve">Items 9, 16</t>
  </si>
  <si>
    <t xml:space="preserve">LOW_CONFIDENCE</t>
  </si>
  <si>
    <t xml:space="preserve">Amber cells with cropped image region; buyer confirms or edits. True values are in the Normalized sheet</t>
  </si>
  <si>
    <t xml:space="preserve">Footer</t>
  </si>
  <si>
    <t xml:space="preserve">Ex-works, freight extra, no amount</t>
  </si>
  <si>
    <t xml:space="preserve">Email line 1</t>
  </si>
  <si>
    <t xml:space="preserve">PARTIAL_QUOTE</t>
  </si>
  <si>
    <t xml:space="preserve">Only the 3-ply and 5-ply per-kg sheet lines filled. Rolls are also per kg: acceptable behaviour is to ask which per-kg lines the rates cover</t>
  </si>
  <si>
    <t xml:space="preserve">'rest same as last year'</t>
  </si>
  <si>
    <t xml:space="preserve">BASELINE_REFERENCE</t>
  </si>
  <si>
    <t xml:space="preserve">Resolved from last-year file as an assumption, shown separately and excluded from totals until the buyer confirms</t>
  </si>
  <si>
    <t xml:space="preserve">'freight extra'</t>
  </si>
  <si>
    <t xml:space="preserve">No amount given; stays blank with a note</t>
  </si>
  <si>
    <t xml:space="preserve">'ISO certified'</t>
  </si>
  <si>
    <t xml:space="preserve">QUALITY_GATE_UNKNOWN</t>
  </si>
  <si>
    <t xml:space="preserve">Burst report not stated; excluded from eligible split with a reason</t>
  </si>
  <si>
    <t xml:space="preserve">Freight</t>
  </si>
  <si>
    <t xml:space="preserve">Payment</t>
  </si>
  <si>
    <t xml:space="preserve">Validity</t>
  </si>
  <si>
    <t xml:space="preserve">GST</t>
  </si>
  <si>
    <t xml:space="preserve">Included, FOR Pune</t>
  </si>
  <si>
    <t xml:space="preserve">60 days</t>
  </si>
  <si>
    <t xml:space="preserve">30 days</t>
  </si>
  <si>
    <t xml:space="preserve">18% extra</t>
  </si>
  <si>
    <t xml:space="preserve">Extra at actuals (no amount)</t>
  </si>
  <si>
    <t xml:space="preserve">45 days</t>
  </si>
  <si>
    <t xml:space="preserve">Included above 500 kg / 200 boxes per drop; else extra</t>
  </si>
  <si>
    <t xml:space="preserve">21 days</t>
  </si>
  <si>
    <t xml:space="preserve">Extra (ex-works, no amount)</t>
  </si>
  <si>
    <t xml:space="preserve">Extra (no amount)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</si>
</sst>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70"/>
  </cols>
  <sheetData>
    <row r="1" customFormat="false" ht="23.85" hidden="false" customHeight="false" outlineLevel="0" collapsed="false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</row>
    <row r="2" customFormat="false" ht="15" hidden="false" customHeight="false" outlineLevel="0" collapsed="false">
      <c r="A2" s="3" t="n">
        <v>1</v>
      </c>
      <c r="B2" s="3" t="s">
        <v>19</v>
      </c>
      <c r="C2" s="3" t="s">
        <v>20</v>
      </c>
      <c r="D2" s="3" t="n">
        <v>84000</v>
      </c>
      <c r="E2" s="3" t="n">
        <v>17.5</v>
      </c>
      <c r="F2" s="3" t="n">
        <v>16.32</v>
      </c>
      <c r="G2" s="3" t="n">
        <v>18.5</v>
      </c>
      <c r="H2" s="3" t="n">
        <v>17.5</v>
      </c>
      <c r="I2" s="3"/>
      <c r="J2" s="3" t="n">
        <v>18.5</v>
      </c>
      <c r="K2" s="3" t="n">
        <v>18.5</v>
      </c>
      <c r="L2" s="3"/>
    </row>
    <row r="3" customFormat="false" ht="15" hidden="false" customHeight="false" outlineLevel="0" collapsed="false">
      <c r="A3" s="3" t="n">
        <v>2</v>
      </c>
      <c r="B3" s="3" t="s">
        <v>21</v>
      </c>
      <c r="C3" s="3" t="s">
        <v>20</v>
      </c>
      <c r="D3" s="3" t="n">
        <v>70000</v>
      </c>
      <c r="E3" s="3" t="n">
        <v>23.5</v>
      </c>
      <c r="F3" s="3" t="n">
        <v>21.12</v>
      </c>
      <c r="G3" s="3" t="n">
        <v>23.5</v>
      </c>
      <c r="H3" s="3" t="n">
        <v>24</v>
      </c>
      <c r="I3" s="3"/>
      <c r="J3" s="3" t="n">
        <v>25</v>
      </c>
      <c r="K3" s="3" t="n">
        <v>25</v>
      </c>
      <c r="L3" s="3"/>
    </row>
    <row r="4" customFormat="false" ht="15" hidden="false" customHeight="false" outlineLevel="0" collapsed="false">
      <c r="A4" s="3" t="n">
        <v>3</v>
      </c>
      <c r="B4" s="3" t="s">
        <v>22</v>
      </c>
      <c r="C4" s="3" t="s">
        <v>20</v>
      </c>
      <c r="D4" s="3" t="n">
        <v>56000</v>
      </c>
      <c r="E4" s="3" t="n">
        <v>29.5</v>
      </c>
      <c r="F4" s="3" t="n">
        <v>25.92</v>
      </c>
      <c r="G4" s="3" t="n">
        <v>29</v>
      </c>
      <c r="H4" s="3" t="n">
        <v>29</v>
      </c>
      <c r="I4" s="3"/>
      <c r="J4" s="3" t="n">
        <v>29.5</v>
      </c>
      <c r="K4" s="3" t="n">
        <v>29.5</v>
      </c>
      <c r="L4" s="3"/>
    </row>
    <row r="5" customFormat="false" ht="15" hidden="false" customHeight="false" outlineLevel="0" collapsed="false">
      <c r="A5" s="3" t="n">
        <v>4</v>
      </c>
      <c r="B5" s="3" t="s">
        <v>23</v>
      </c>
      <c r="C5" s="3" t="s">
        <v>20</v>
      </c>
      <c r="D5" s="3" t="n">
        <v>42000</v>
      </c>
      <c r="E5" s="3" t="n">
        <v>36.5</v>
      </c>
      <c r="F5" s="3" t="n">
        <v>32.64</v>
      </c>
      <c r="G5" s="3" t="n">
        <v>38</v>
      </c>
      <c r="H5" s="3" t="n">
        <v>38.5</v>
      </c>
      <c r="I5" s="3"/>
      <c r="J5" s="3" t="n">
        <v>39.5</v>
      </c>
      <c r="K5" s="3" t="n">
        <v>39.5</v>
      </c>
      <c r="L5" s="3"/>
    </row>
    <row r="6" customFormat="false" ht="15" hidden="false" customHeight="false" outlineLevel="0" collapsed="false">
      <c r="A6" s="3" t="n">
        <v>5</v>
      </c>
      <c r="B6" s="3" t="s">
        <v>24</v>
      </c>
      <c r="C6" s="3" t="s">
        <v>20</v>
      </c>
      <c r="D6" s="3" t="n">
        <v>28000</v>
      </c>
      <c r="E6" s="3" t="n">
        <v>52</v>
      </c>
      <c r="F6" s="3" t="n">
        <v>44.64</v>
      </c>
      <c r="G6" s="3" t="n">
        <v>52</v>
      </c>
      <c r="H6" s="3" t="n">
        <v>50</v>
      </c>
      <c r="I6" s="3"/>
      <c r="J6" s="3" t="n">
        <v>53</v>
      </c>
      <c r="K6" s="3" t="n">
        <v>53</v>
      </c>
      <c r="L6" s="3"/>
    </row>
    <row r="7" customFormat="false" ht="15" hidden="false" customHeight="false" outlineLevel="0" collapsed="false">
      <c r="A7" s="3" t="n">
        <v>6</v>
      </c>
      <c r="B7" s="3" t="s">
        <v>25</v>
      </c>
      <c r="C7" s="3" t="s">
        <v>20</v>
      </c>
      <c r="D7" s="3" t="n">
        <v>70000</v>
      </c>
      <c r="E7" s="3" t="n">
        <v>33.5</v>
      </c>
      <c r="F7" s="3" t="n">
        <v>29.76</v>
      </c>
      <c r="G7" s="3" t="n">
        <v>33.5</v>
      </c>
      <c r="H7" s="3" t="n">
        <v>33</v>
      </c>
      <c r="I7" s="3"/>
      <c r="J7" s="3" t="n">
        <v>34.5</v>
      </c>
      <c r="K7" s="3" t="n">
        <v>34.5</v>
      </c>
      <c r="L7" s="3" t="s">
        <v>26</v>
      </c>
    </row>
    <row r="8" customFormat="false" ht="15" hidden="false" customHeight="false" outlineLevel="0" collapsed="false">
      <c r="A8" s="3" t="n">
        <v>7</v>
      </c>
      <c r="B8" s="3" t="s">
        <v>27</v>
      </c>
      <c r="C8" s="3" t="s">
        <v>20</v>
      </c>
      <c r="D8" s="3" t="n">
        <v>56000</v>
      </c>
      <c r="E8" s="3" t="n">
        <v>42.5</v>
      </c>
      <c r="F8" s="3" t="n">
        <v>39.84</v>
      </c>
      <c r="G8" s="3" t="n">
        <v>44.5</v>
      </c>
      <c r="H8" s="3" t="n">
        <v>42.5</v>
      </c>
      <c r="I8" s="3"/>
      <c r="J8" s="3" t="n">
        <v>45</v>
      </c>
      <c r="K8" s="3" t="n">
        <v>45</v>
      </c>
      <c r="L8" s="3" t="s">
        <v>26</v>
      </c>
    </row>
    <row r="9" customFormat="false" ht="15" hidden="false" customHeight="false" outlineLevel="0" collapsed="false">
      <c r="A9" s="3" t="n">
        <v>8</v>
      </c>
      <c r="B9" s="3" t="s">
        <v>28</v>
      </c>
      <c r="C9" s="3" t="s">
        <v>20</v>
      </c>
      <c r="D9" s="3" t="n">
        <v>49000</v>
      </c>
      <c r="E9" s="3" t="n">
        <v>52</v>
      </c>
      <c r="F9" s="3" t="n">
        <v>46.08</v>
      </c>
      <c r="G9" s="3" t="n">
        <v>53.5</v>
      </c>
      <c r="H9" s="3" t="n">
        <v>52.5</v>
      </c>
      <c r="I9" s="3"/>
      <c r="J9" s="3" t="n">
        <v>53.5</v>
      </c>
      <c r="K9" s="3" t="n">
        <v>53.5</v>
      </c>
      <c r="L9" s="3" t="s">
        <v>26</v>
      </c>
    </row>
    <row r="10" customFormat="false" ht="15" hidden="false" customHeight="false" outlineLevel="0" collapsed="false">
      <c r="A10" s="3" t="n">
        <v>9</v>
      </c>
      <c r="B10" s="3" t="s">
        <v>29</v>
      </c>
      <c r="C10" s="3" t="s">
        <v>20</v>
      </c>
      <c r="D10" s="3" t="n">
        <v>35000</v>
      </c>
      <c r="E10" s="3" t="n">
        <v>65.5</v>
      </c>
      <c r="F10" s="3" t="n">
        <v>60</v>
      </c>
      <c r="G10" s="3" t="n">
        <v>67</v>
      </c>
      <c r="H10" s="3" t="n">
        <v>69</v>
      </c>
      <c r="I10" s="3"/>
      <c r="J10" s="3" t="n">
        <v>70.5</v>
      </c>
      <c r="K10" s="3" t="n">
        <v>70.5</v>
      </c>
      <c r="L10" s="3" t="s">
        <v>30</v>
      </c>
    </row>
    <row r="11" customFormat="false" ht="15" hidden="false" customHeight="false" outlineLevel="0" collapsed="false">
      <c r="A11" s="3" t="n">
        <v>10</v>
      </c>
      <c r="B11" s="3" t="s">
        <v>31</v>
      </c>
      <c r="C11" s="3" t="s">
        <v>20</v>
      </c>
      <c r="D11" s="3" t="n">
        <v>21000</v>
      </c>
      <c r="E11" s="3" t="n">
        <v>91.8</v>
      </c>
      <c r="F11" s="3" t="n">
        <v>82.56</v>
      </c>
      <c r="G11" s="3" t="n">
        <v>92.5</v>
      </c>
      <c r="H11" s="3" t="n">
        <v>87.5</v>
      </c>
      <c r="I11" s="3"/>
      <c r="J11" s="3" t="n">
        <v>94</v>
      </c>
      <c r="K11" s="3" t="n">
        <v>94</v>
      </c>
      <c r="L11" s="3" t="s">
        <v>32</v>
      </c>
    </row>
    <row r="12" customFormat="false" ht="15" hidden="false" customHeight="false" outlineLevel="0" collapsed="false">
      <c r="A12" s="3" t="n">
        <v>11</v>
      </c>
      <c r="B12" s="3" t="s">
        <v>33</v>
      </c>
      <c r="C12" s="3" t="s">
        <v>20</v>
      </c>
      <c r="D12" s="3" t="n">
        <v>21000</v>
      </c>
      <c r="E12" s="3" t="n">
        <v>75.65</v>
      </c>
      <c r="F12" s="3" t="n">
        <v>69.6</v>
      </c>
      <c r="G12" s="3" t="n">
        <v>74.5</v>
      </c>
      <c r="H12" s="3" t="n">
        <v>74.5</v>
      </c>
      <c r="I12" s="3"/>
      <c r="J12" s="3" t="n">
        <v>79.5</v>
      </c>
      <c r="K12" s="3" t="n">
        <v>79.5</v>
      </c>
      <c r="L12" s="3" t="s">
        <v>34</v>
      </c>
    </row>
    <row r="13" customFormat="false" ht="15" hidden="false" customHeight="false" outlineLevel="0" collapsed="false">
      <c r="A13" s="3" t="n">
        <v>12</v>
      </c>
      <c r="B13" s="3" t="s">
        <v>35</v>
      </c>
      <c r="C13" s="3" t="s">
        <v>20</v>
      </c>
      <c r="D13" s="3" t="n">
        <v>14000</v>
      </c>
      <c r="E13" s="3" t="n">
        <v>98.6</v>
      </c>
      <c r="F13" s="3" t="n">
        <v>89.76</v>
      </c>
      <c r="G13" s="3" t="n">
        <v>103</v>
      </c>
      <c r="H13" s="3" t="n">
        <v>98</v>
      </c>
      <c r="I13" s="3"/>
      <c r="J13" s="3" t="n">
        <v>105</v>
      </c>
      <c r="K13" s="3" t="n">
        <v>105</v>
      </c>
      <c r="L13" s="3" t="s">
        <v>36</v>
      </c>
    </row>
    <row r="14" customFormat="false" ht="15" hidden="false" customHeight="false" outlineLevel="0" collapsed="false">
      <c r="A14" s="3" t="n">
        <v>13</v>
      </c>
      <c r="B14" s="3" t="s">
        <v>37</v>
      </c>
      <c r="C14" s="3" t="s">
        <v>20</v>
      </c>
      <c r="D14" s="3" t="n">
        <v>8400</v>
      </c>
      <c r="E14" s="3" t="n">
        <v>136.85</v>
      </c>
      <c r="F14" s="3" t="n">
        <v>125.76</v>
      </c>
      <c r="G14" s="3"/>
      <c r="H14" s="3" t="n">
        <v>132</v>
      </c>
      <c r="I14" s="3"/>
      <c r="J14" s="3" t="n">
        <v>141</v>
      </c>
      <c r="K14" s="3" t="n">
        <v>141</v>
      </c>
      <c r="L14" s="3" t="s">
        <v>38</v>
      </c>
    </row>
    <row r="15" customFormat="false" ht="15" hidden="false" customHeight="false" outlineLevel="0" collapsed="false">
      <c r="A15" s="3" t="n">
        <v>14</v>
      </c>
      <c r="B15" s="3" t="s">
        <v>39</v>
      </c>
      <c r="C15" s="3" t="s">
        <v>40</v>
      </c>
      <c r="D15" s="3" t="n">
        <v>56000</v>
      </c>
      <c r="E15" s="3" t="n">
        <v>12.5</v>
      </c>
      <c r="F15" s="3" t="n">
        <v>11.04</v>
      </c>
      <c r="G15" s="3" t="n">
        <v>12.5</v>
      </c>
      <c r="H15" s="3" t="n">
        <v>11.5</v>
      </c>
      <c r="I15" s="3"/>
      <c r="J15" s="3" t="n">
        <v>12.5</v>
      </c>
      <c r="K15" s="3" t="n">
        <v>12.5</v>
      </c>
      <c r="L15" s="3"/>
    </row>
    <row r="16" customFormat="false" ht="15" hidden="false" customHeight="false" outlineLevel="0" collapsed="false">
      <c r="A16" s="3" t="n">
        <v>15</v>
      </c>
      <c r="B16" s="3" t="s">
        <v>41</v>
      </c>
      <c r="C16" s="3" t="s">
        <v>40</v>
      </c>
      <c r="D16" s="3" t="n">
        <v>49000</v>
      </c>
      <c r="E16" s="3" t="n">
        <v>15.5</v>
      </c>
      <c r="F16" s="3" t="n">
        <v>13.92</v>
      </c>
      <c r="G16" s="3" t="n">
        <v>16</v>
      </c>
      <c r="H16" s="3" t="n">
        <v>16</v>
      </c>
      <c r="I16" s="3"/>
      <c r="J16" s="3" t="n">
        <v>16.5</v>
      </c>
      <c r="K16" s="3" t="n">
        <v>16.5</v>
      </c>
      <c r="L16" s="3"/>
    </row>
    <row r="17" customFormat="false" ht="15" hidden="false" customHeight="false" outlineLevel="0" collapsed="false">
      <c r="A17" s="3" t="n">
        <v>16</v>
      </c>
      <c r="B17" s="3" t="s">
        <v>42</v>
      </c>
      <c r="C17" s="3" t="s">
        <v>40</v>
      </c>
      <c r="D17" s="3" t="n">
        <v>35000</v>
      </c>
      <c r="E17" s="3" t="n">
        <v>21.5</v>
      </c>
      <c r="F17" s="3" t="n">
        <v>19.68</v>
      </c>
      <c r="G17" s="3" t="n">
        <v>21.5</v>
      </c>
      <c r="H17" s="3" t="n">
        <v>21</v>
      </c>
      <c r="I17" s="3"/>
      <c r="J17" s="3" t="n">
        <v>23</v>
      </c>
      <c r="K17" s="3" t="n">
        <v>23</v>
      </c>
      <c r="L17" s="3" t="s">
        <v>43</v>
      </c>
    </row>
    <row r="18" customFormat="false" ht="15" hidden="false" customHeight="false" outlineLevel="0" collapsed="false">
      <c r="A18" s="3" t="n">
        <v>17</v>
      </c>
      <c r="B18" s="3" t="s">
        <v>44</v>
      </c>
      <c r="C18" s="3" t="s">
        <v>40</v>
      </c>
      <c r="D18" s="3" t="n">
        <v>21000</v>
      </c>
      <c r="E18" s="3" t="n">
        <v>31.5</v>
      </c>
      <c r="F18" s="3" t="n">
        <v>27.84</v>
      </c>
      <c r="G18" s="3"/>
      <c r="H18" s="3" t="n">
        <v>29</v>
      </c>
      <c r="I18" s="3"/>
      <c r="J18" s="3" t="n">
        <v>32.5</v>
      </c>
      <c r="K18" s="3" t="n">
        <v>32.5</v>
      </c>
      <c r="L18" s="3" t="s">
        <v>45</v>
      </c>
    </row>
    <row r="19" customFormat="false" ht="15" hidden="false" customHeight="false" outlineLevel="0" collapsed="false">
      <c r="A19" s="3" t="n">
        <v>18</v>
      </c>
      <c r="B19" s="3" t="s">
        <v>46</v>
      </c>
      <c r="C19" s="3" t="s">
        <v>40</v>
      </c>
      <c r="D19" s="3" t="n">
        <v>84000</v>
      </c>
      <c r="E19" s="3" t="n">
        <v>6</v>
      </c>
      <c r="F19" s="3" t="n">
        <v>5.28</v>
      </c>
      <c r="G19" s="3" t="n">
        <v>6</v>
      </c>
      <c r="H19" s="3" t="n">
        <v>6</v>
      </c>
      <c r="I19" s="3"/>
      <c r="J19" s="3" t="n">
        <v>6</v>
      </c>
      <c r="K19" s="3" t="n">
        <v>6</v>
      </c>
      <c r="L19" s="3"/>
    </row>
    <row r="20" customFormat="false" ht="15" hidden="false" customHeight="false" outlineLevel="0" collapsed="false">
      <c r="A20" s="3" t="n">
        <v>19</v>
      </c>
      <c r="B20" s="3" t="s">
        <v>47</v>
      </c>
      <c r="C20" s="3" t="s">
        <v>40</v>
      </c>
      <c r="D20" s="3" t="n">
        <v>70000</v>
      </c>
      <c r="E20" s="3" t="n">
        <v>8</v>
      </c>
      <c r="F20" s="3" t="n">
        <v>7.2</v>
      </c>
      <c r="G20" s="3" t="n">
        <v>7.5</v>
      </c>
      <c r="H20" s="3" t="n">
        <v>8</v>
      </c>
      <c r="I20" s="3"/>
      <c r="J20" s="3" t="n">
        <v>8</v>
      </c>
      <c r="K20" s="3" t="n">
        <v>8</v>
      </c>
      <c r="L20" s="3"/>
    </row>
    <row r="21" customFormat="false" ht="15" hidden="false" customHeight="false" outlineLevel="0" collapsed="false">
      <c r="A21" s="3" t="n">
        <v>20</v>
      </c>
      <c r="B21" s="3" t="s">
        <v>48</v>
      </c>
      <c r="C21" s="3" t="s">
        <v>40</v>
      </c>
      <c r="D21" s="3" t="n">
        <v>56000</v>
      </c>
      <c r="E21" s="3" t="n">
        <v>11</v>
      </c>
      <c r="F21" s="3" t="n">
        <v>9.6</v>
      </c>
      <c r="G21" s="3" t="n">
        <v>11</v>
      </c>
      <c r="H21" s="3" t="n">
        <v>11</v>
      </c>
      <c r="I21" s="3"/>
      <c r="J21" s="3" t="n">
        <v>11.5</v>
      </c>
      <c r="K21" s="3" t="n">
        <v>11.5</v>
      </c>
      <c r="L21" s="3"/>
    </row>
    <row r="22" customFormat="false" ht="15" hidden="false" customHeight="false" outlineLevel="0" collapsed="false">
      <c r="A22" s="3" t="n">
        <v>21</v>
      </c>
      <c r="B22" s="3" t="s">
        <v>49</v>
      </c>
      <c r="C22" s="3" t="s">
        <v>50</v>
      </c>
      <c r="D22" s="3" t="n">
        <v>56000</v>
      </c>
      <c r="E22" s="3" t="n">
        <v>39.5</v>
      </c>
      <c r="F22" s="3" t="n">
        <v>35.04</v>
      </c>
      <c r="G22" s="3" t="n">
        <v>36.5</v>
      </c>
      <c r="H22" s="3" t="n">
        <v>38.5</v>
      </c>
      <c r="I22" s="3" t="n">
        <v>38</v>
      </c>
      <c r="J22" s="3"/>
      <c r="K22" s="3" t="n">
        <v>37</v>
      </c>
      <c r="L22" s="3" t="s">
        <v>51</v>
      </c>
    </row>
    <row r="23" customFormat="false" ht="15" hidden="false" customHeight="false" outlineLevel="0" collapsed="false">
      <c r="A23" s="3" t="n">
        <v>22</v>
      </c>
      <c r="B23" s="3" t="s">
        <v>52</v>
      </c>
      <c r="C23" s="3" t="s">
        <v>50</v>
      </c>
      <c r="D23" s="3" t="n">
        <v>84000</v>
      </c>
      <c r="E23" s="3" t="n">
        <v>40.5</v>
      </c>
      <c r="F23" s="3" t="n">
        <v>36.48</v>
      </c>
      <c r="G23" s="3" t="n">
        <v>40.5</v>
      </c>
      <c r="H23" s="3" t="n">
        <v>42</v>
      </c>
      <c r="I23" s="3" t="n">
        <v>42</v>
      </c>
      <c r="J23" s="3"/>
      <c r="K23" s="3" t="n">
        <v>41</v>
      </c>
      <c r="L23" s="3" t="s">
        <v>51</v>
      </c>
    </row>
    <row r="24" customFormat="false" ht="15" hidden="false" customHeight="false" outlineLevel="0" collapsed="false">
      <c r="A24" s="3" t="n">
        <v>23</v>
      </c>
      <c r="B24" s="3" t="s">
        <v>53</v>
      </c>
      <c r="C24" s="3" t="s">
        <v>50</v>
      </c>
      <c r="D24" s="3" t="n">
        <v>28000</v>
      </c>
      <c r="E24" s="3" t="n">
        <v>48.5</v>
      </c>
      <c r="F24" s="3" t="n">
        <v>41.76</v>
      </c>
      <c r="G24" s="3" t="n">
        <v>45</v>
      </c>
      <c r="H24" s="3" t="n">
        <v>46</v>
      </c>
      <c r="I24" s="3"/>
      <c r="J24" s="3" t="n">
        <v>49.5</v>
      </c>
      <c r="K24" s="3" t="n">
        <v>49.5</v>
      </c>
      <c r="L24" s="3"/>
    </row>
    <row r="25" customFormat="false" ht="15" hidden="false" customHeight="false" outlineLevel="0" collapsed="false">
      <c r="A25" s="3" t="n">
        <v>24</v>
      </c>
      <c r="B25" s="3" t="s">
        <v>54</v>
      </c>
      <c r="C25" s="3" t="s">
        <v>50</v>
      </c>
      <c r="D25" s="3" t="n">
        <v>21000</v>
      </c>
      <c r="E25" s="3" t="n">
        <v>38.5</v>
      </c>
      <c r="F25" s="3" t="n">
        <v>35.52</v>
      </c>
      <c r="G25" s="3" t="n">
        <v>39.5</v>
      </c>
      <c r="H25" s="3" t="n">
        <v>38.5</v>
      </c>
      <c r="I25" s="3"/>
      <c r="J25" s="3" t="n">
        <v>41.5</v>
      </c>
      <c r="K25" s="3" t="n">
        <v>41.5</v>
      </c>
      <c r="L25" s="3"/>
    </row>
    <row r="26" customFormat="false" ht="15" hidden="false" customHeight="false" outlineLevel="0" collapsed="false">
      <c r="A26" s="3" t="n">
        <v>25</v>
      </c>
      <c r="B26" s="3" t="s">
        <v>55</v>
      </c>
      <c r="C26" s="3" t="s">
        <v>50</v>
      </c>
      <c r="D26" s="3" t="n">
        <v>35000</v>
      </c>
      <c r="E26" s="3" t="n">
        <v>42</v>
      </c>
      <c r="F26" s="3" t="n">
        <v>37.44</v>
      </c>
      <c r="G26" s="3" t="n">
        <v>41.5</v>
      </c>
      <c r="H26" s="3" t="n">
        <v>42.5</v>
      </c>
      <c r="I26" s="3"/>
      <c r="J26" s="3" t="n">
        <v>44.5</v>
      </c>
      <c r="K26" s="3" t="n">
        <v>44.5</v>
      </c>
      <c r="L26" s="3"/>
    </row>
    <row r="27" customFormat="false" ht="15" hidden="false" customHeight="false" outlineLevel="0" collapsed="false">
      <c r="A27" s="3" t="n">
        <v>26</v>
      </c>
      <c r="B27" s="3" t="s">
        <v>56</v>
      </c>
      <c r="C27" s="3" t="s">
        <v>57</v>
      </c>
      <c r="D27" s="3" t="n">
        <v>1120</v>
      </c>
      <c r="E27" s="3" t="n">
        <v>301</v>
      </c>
      <c r="F27" s="3" t="n">
        <v>276.48</v>
      </c>
      <c r="G27" s="3" t="n">
        <v>301</v>
      </c>
      <c r="H27" s="3" t="n">
        <v>293</v>
      </c>
      <c r="I27" s="3"/>
      <c r="J27" s="3" t="n">
        <v>322</v>
      </c>
      <c r="K27" s="3" t="n">
        <v>322</v>
      </c>
      <c r="L27" s="3"/>
    </row>
    <row r="28" customFormat="false" ht="15" hidden="false" customHeight="false" outlineLevel="0" collapsed="false">
      <c r="A28" s="3" t="n">
        <v>27</v>
      </c>
      <c r="B28" s="3" t="s">
        <v>58</v>
      </c>
      <c r="C28" s="3" t="s">
        <v>57</v>
      </c>
      <c r="D28" s="3" t="n">
        <v>840</v>
      </c>
      <c r="E28" s="3" t="n">
        <v>414</v>
      </c>
      <c r="F28" s="3" t="n">
        <v>360.96</v>
      </c>
      <c r="G28" s="3" t="n">
        <v>412</v>
      </c>
      <c r="H28" s="3" t="n">
        <v>425</v>
      </c>
      <c r="I28" s="3"/>
      <c r="J28" s="3" t="n">
        <v>430</v>
      </c>
      <c r="K28" s="3" t="n">
        <v>430</v>
      </c>
      <c r="L28" s="3"/>
    </row>
    <row r="29" customFormat="false" ht="15" hidden="false" customHeight="false" outlineLevel="0" collapsed="false">
      <c r="A29" s="3" t="n">
        <v>28</v>
      </c>
      <c r="B29" s="3" t="s">
        <v>59</v>
      </c>
      <c r="C29" s="3" t="s">
        <v>57</v>
      </c>
      <c r="D29" s="3" t="n">
        <v>560</v>
      </c>
      <c r="E29" s="3" t="n">
        <v>574</v>
      </c>
      <c r="F29" s="3" t="n">
        <v>506.88</v>
      </c>
      <c r="G29" s="3"/>
      <c r="H29" s="3" t="n">
        <v>561</v>
      </c>
      <c r="I29" s="3"/>
      <c r="J29" s="3" t="n">
        <v>573</v>
      </c>
      <c r="K29" s="3" t="n">
        <v>573</v>
      </c>
      <c r="L29" s="3" t="s">
        <v>45</v>
      </c>
    </row>
    <row r="30" customFormat="false" ht="15" hidden="false" customHeight="false" outlineLevel="0" collapsed="false">
      <c r="A30" s="3" t="n">
        <v>29</v>
      </c>
      <c r="B30" s="3" t="s">
        <v>60</v>
      </c>
      <c r="C30" s="3" t="s">
        <v>40</v>
      </c>
      <c r="D30" s="3" t="n">
        <v>11200</v>
      </c>
      <c r="E30" s="3" t="n">
        <v>45.05</v>
      </c>
      <c r="F30" s="3" t="n">
        <v>41.76</v>
      </c>
      <c r="G30" s="3" t="n">
        <v>44</v>
      </c>
      <c r="H30" s="3" t="n">
        <v>46.5</v>
      </c>
      <c r="I30" s="3"/>
      <c r="J30" s="3" t="n">
        <v>47.5</v>
      </c>
      <c r="K30" s="3" t="n">
        <v>47.5</v>
      </c>
      <c r="L30" s="3" t="s">
        <v>61</v>
      </c>
    </row>
    <row r="31" customFormat="false" ht="15" hidden="false" customHeight="false" outlineLevel="0" collapsed="false">
      <c r="A31" s="3" t="n">
        <v>30</v>
      </c>
      <c r="B31" s="3" t="s">
        <v>62</v>
      </c>
      <c r="C31" s="3" t="s">
        <v>40</v>
      </c>
      <c r="D31" s="3" t="n">
        <v>8400</v>
      </c>
      <c r="E31" s="3" t="n">
        <v>58.65</v>
      </c>
      <c r="F31" s="3" t="n">
        <v>52.32</v>
      </c>
      <c r="G31" s="3" t="n">
        <v>57</v>
      </c>
      <c r="H31" s="3" t="n">
        <v>58</v>
      </c>
      <c r="I31" s="3"/>
      <c r="J31" s="3" t="n">
        <v>60</v>
      </c>
      <c r="K31" s="3" t="n">
        <v>60</v>
      </c>
      <c r="L31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</row>
    <row r="2" customFormat="false" ht="15" hidden="false" customHeight="false" outlineLevel="0" collapsed="false">
      <c r="A2" s="3" t="s">
        <v>11</v>
      </c>
      <c r="B2" s="3" t="s">
        <v>72</v>
      </c>
      <c r="C2" s="3" t="s">
        <v>72</v>
      </c>
      <c r="D2" s="3" t="n">
        <f aca="false">IF(AND(B2="Yes",C2="Yes"),1,0)</f>
        <v>1</v>
      </c>
      <c r="E2" s="3" t="n">
        <v>14</v>
      </c>
      <c r="F2" s="3" t="s">
        <v>72</v>
      </c>
      <c r="G2" s="3" t="s">
        <v>73</v>
      </c>
      <c r="H2" s="3" t="s">
        <v>74</v>
      </c>
    </row>
    <row r="3" customFormat="false" ht="15" hidden="false" customHeight="false" outlineLevel="0" collapsed="false">
      <c r="A3" s="3" t="s">
        <v>12</v>
      </c>
      <c r="B3" s="3" t="s">
        <v>72</v>
      </c>
      <c r="C3" s="3" t="s">
        <v>75</v>
      </c>
      <c r="D3" s="3" t="n">
        <f aca="false">IF(AND(B3="Yes",C3="Yes"),1,0)</f>
        <v>0</v>
      </c>
      <c r="E3" s="3" t="n">
        <v>10</v>
      </c>
      <c r="F3" s="3" t="s">
        <v>72</v>
      </c>
      <c r="G3" s="3" t="s">
        <v>76</v>
      </c>
      <c r="H3" s="3" t="s">
        <v>77</v>
      </c>
    </row>
    <row r="4" customFormat="false" ht="15" hidden="false" customHeight="false" outlineLevel="0" collapsed="false">
      <c r="A4" s="3" t="s">
        <v>13</v>
      </c>
      <c r="B4" s="3" t="s">
        <v>72</v>
      </c>
      <c r="C4" s="3" t="s">
        <v>72</v>
      </c>
      <c r="D4" s="3" t="n">
        <f aca="false">IF(AND(B4="Yes",C4="Yes"),1,0)</f>
        <v>1</v>
      </c>
      <c r="E4" s="3" t="n">
        <v>10</v>
      </c>
      <c r="F4" s="3" t="s">
        <v>75</v>
      </c>
      <c r="G4" s="3" t="s">
        <v>76</v>
      </c>
      <c r="H4" s="3" t="s">
        <v>78</v>
      </c>
    </row>
    <row r="5" customFormat="false" ht="15" hidden="false" customHeight="false" outlineLevel="0" collapsed="false">
      <c r="A5" s="3" t="s">
        <v>14</v>
      </c>
      <c r="B5" s="3" t="s">
        <v>72</v>
      </c>
      <c r="C5" s="3" t="s">
        <v>72</v>
      </c>
      <c r="D5" s="3" t="n">
        <f aca="false">IF(AND(B5="Yes",C5="Yes"),1,0)</f>
        <v>1</v>
      </c>
      <c r="E5" s="3" t="n">
        <v>12</v>
      </c>
      <c r="F5" s="3" t="s">
        <v>79</v>
      </c>
      <c r="G5" s="3" t="s">
        <v>80</v>
      </c>
      <c r="H5" s="3" t="s">
        <v>81</v>
      </c>
    </row>
    <row r="6" customFormat="false" ht="15" hidden="false" customHeight="false" outlineLevel="0" collapsed="false">
      <c r="A6" s="3" t="s">
        <v>82</v>
      </c>
      <c r="B6" s="3" t="s">
        <v>72</v>
      </c>
      <c r="C6" s="3" t="s">
        <v>83</v>
      </c>
      <c r="D6" s="3" t="n">
        <f aca="false">IF(AND(B6="Yes",C6="Yes"),1,0)</f>
        <v>0</v>
      </c>
      <c r="E6" s="3"/>
      <c r="F6" s="3" t="s">
        <v>83</v>
      </c>
      <c r="G6" s="3" t="s">
        <v>83</v>
      </c>
      <c r="H6" s="3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8"/>
    <col collapsed="false" customWidth="true" hidden="false" outlineLevel="0" max="15" min="14" style="0" width="14"/>
  </cols>
  <sheetData>
    <row r="1" customFormat="false" ht="23.85" hidden="false" customHeight="false" outlineLevel="0" collapsed="false">
      <c r="A1" s="2" t="s">
        <v>7</v>
      </c>
      <c r="B1" s="2" t="s">
        <v>8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82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</row>
    <row r="2" customFormat="false" ht="15" hidden="false" customHeight="false" outlineLevel="0" collapsed="false">
      <c r="A2" s="3" t="n">
        <f aca="false">Normalized!A2</f>
        <v>1</v>
      </c>
      <c r="B2" s="3" t="str">
        <f aca="false">Normalized!B2</f>
        <v>3-ply RSC shipper box 12x10x8 in</v>
      </c>
      <c r="C2" s="3" t="n">
        <f aca="false">Normalized!D2</f>
        <v>84000</v>
      </c>
      <c r="D2" s="3" t="n">
        <f aca="false">IF(AND(Eligibility!$D$2=1,ISNUMBER(Normalized!E2)),Normalized!E2,"")</f>
        <v>17.5</v>
      </c>
      <c r="E2" s="3" t="str">
        <f aca="false">IF(AND(Eligibility!$D$3=1,ISNUMBER(Normalized!F2)),Normalized!F2,"")</f>
        <v/>
      </c>
      <c r="F2" s="3" t="n">
        <f aca="false">IF(AND(Eligibility!$D$4=1,ISNUMBER(Normalized!G2)),Normalized!G2,"")</f>
        <v>18.5</v>
      </c>
      <c r="G2" s="3" t="n">
        <f aca="false">IF(AND(Eligibility!$D$5=1,ISNUMBER(Normalized!H2)),Normalized!H2,"")</f>
        <v>17.5</v>
      </c>
      <c r="H2" s="3" t="str">
        <f aca="false">IF(AND(Eligibility!$D$6=1,ISNUMBER(Normalized!I2)),Normalized!I2,"")</f>
        <v/>
      </c>
      <c r="I2" s="3" t="n">
        <f aca="false">IF(COUNT(D2:H2)=0,"",MIN(D2:H2))</f>
        <v>17.5</v>
      </c>
      <c r="J2" s="3" t="str">
        <f aca="false">IF(I2="","",INDEX($D$1:$H$1,MATCH(I2,D2:H2,0)))</f>
        <v>A Shree</v>
      </c>
      <c r="K2" s="5" t="n">
        <f aca="false">IF(I2="","",C2*I2)</f>
        <v>1470000</v>
      </c>
      <c r="L2" s="3" t="n">
        <f aca="false">MIN(Normalized!E2:I2)</f>
        <v>16.32</v>
      </c>
      <c r="M2" s="3" t="str">
        <f aca="false">INDEX(Normalized!$E$1:$I$1,MATCH(L2,Normalized!E2:I2,0))</f>
        <v>B Deccan</v>
      </c>
      <c r="N2" s="5" t="n">
        <f aca="false">C2*L2</f>
        <v>1370880</v>
      </c>
      <c r="O2" s="5" t="n">
        <f aca="false">C2*Normalized!K2</f>
        <v>1554000</v>
      </c>
    </row>
    <row r="3" customFormat="false" ht="15" hidden="false" customHeight="false" outlineLevel="0" collapsed="false">
      <c r="A3" s="3" t="n">
        <f aca="false">Normalized!A3</f>
        <v>2</v>
      </c>
      <c r="B3" s="3" t="str">
        <f aca="false">Normalized!B3</f>
        <v>3-ply RSC shipper box 14x12x10 in</v>
      </c>
      <c r="C3" s="3" t="n">
        <f aca="false">Normalized!D3</f>
        <v>70000</v>
      </c>
      <c r="D3" s="3" t="n">
        <f aca="false">IF(AND(Eligibility!$D$2=1,ISNUMBER(Normalized!E3)),Normalized!E3,"")</f>
        <v>23.5</v>
      </c>
      <c r="E3" s="3" t="str">
        <f aca="false">IF(AND(Eligibility!$D$3=1,ISNUMBER(Normalized!F3)),Normalized!F3,"")</f>
        <v/>
      </c>
      <c r="F3" s="3" t="n">
        <f aca="false">IF(AND(Eligibility!$D$4=1,ISNUMBER(Normalized!G3)),Normalized!G3,"")</f>
        <v>23.5</v>
      </c>
      <c r="G3" s="3" t="n">
        <f aca="false">IF(AND(Eligibility!$D$5=1,ISNUMBER(Normalized!H3)),Normalized!H3,"")</f>
        <v>24</v>
      </c>
      <c r="H3" s="3" t="str">
        <f aca="false">IF(AND(Eligibility!$D$6=1,ISNUMBER(Normalized!I3)),Normalized!I3,"")</f>
        <v/>
      </c>
      <c r="I3" s="3" t="n">
        <f aca="false">IF(COUNT(D3:H3)=0,"",MIN(D3:H3))</f>
        <v>23.5</v>
      </c>
      <c r="J3" s="3" t="str">
        <f aca="false">IF(I3="","",INDEX($D$1:$H$1,MATCH(I3,D3:H3,0)))</f>
        <v>A Shree</v>
      </c>
      <c r="K3" s="5" t="n">
        <f aca="false">IF(I3="","",C3*I3)</f>
        <v>1645000</v>
      </c>
      <c r="L3" s="3" t="n">
        <f aca="false">MIN(Normalized!E3:I3)</f>
        <v>21.12</v>
      </c>
      <c r="M3" s="3" t="str">
        <f aca="false">INDEX(Normalized!$E$1:$I$1,MATCH(L3,Normalized!E3:I3,0))</f>
        <v>B Deccan</v>
      </c>
      <c r="N3" s="5" t="n">
        <f aca="false">C3*L3</f>
        <v>1478400</v>
      </c>
      <c r="O3" s="5" t="n">
        <f aca="false">C3*Normalized!K3</f>
        <v>1750000</v>
      </c>
    </row>
    <row r="4" customFormat="false" ht="15" hidden="false" customHeight="false" outlineLevel="0" collapsed="false">
      <c r="A4" s="3" t="n">
        <f aca="false">Normalized!A4</f>
        <v>3</v>
      </c>
      <c r="B4" s="3" t="str">
        <f aca="false">Normalized!B4</f>
        <v>3-ply RSC shipper box 16x12x10 in</v>
      </c>
      <c r="C4" s="3" t="n">
        <f aca="false">Normalized!D4</f>
        <v>56000</v>
      </c>
      <c r="D4" s="3" t="n">
        <f aca="false">IF(AND(Eligibility!$D$2=1,ISNUMBER(Normalized!E4)),Normalized!E4,"")</f>
        <v>29.5</v>
      </c>
      <c r="E4" s="3" t="str">
        <f aca="false">IF(AND(Eligibility!$D$3=1,ISNUMBER(Normalized!F4)),Normalized!F4,"")</f>
        <v/>
      </c>
      <c r="F4" s="3" t="n">
        <f aca="false">IF(AND(Eligibility!$D$4=1,ISNUMBER(Normalized!G4)),Normalized!G4,"")</f>
        <v>29</v>
      </c>
      <c r="G4" s="3" t="n">
        <f aca="false">IF(AND(Eligibility!$D$5=1,ISNUMBER(Normalized!H4)),Normalized!H4,"")</f>
        <v>29</v>
      </c>
      <c r="H4" s="3" t="str">
        <f aca="false">IF(AND(Eligibility!$D$6=1,ISNUMBER(Normalized!I4)),Normalized!I4,"")</f>
        <v/>
      </c>
      <c r="I4" s="3" t="n">
        <f aca="false">IF(COUNT(D4:H4)=0,"",MIN(D4:H4))</f>
        <v>29</v>
      </c>
      <c r="J4" s="3" t="str">
        <f aca="false">IF(I4="","",INDEX($D$1:$H$1,MATCH(I4,D4:H4,0)))</f>
        <v>C Pune Box</v>
      </c>
      <c r="K4" s="5" t="n">
        <f aca="false">IF(I4="","",C4*I4)</f>
        <v>1624000</v>
      </c>
      <c r="L4" s="3" t="n">
        <f aca="false">MIN(Normalized!E4:I4)</f>
        <v>25.92</v>
      </c>
      <c r="M4" s="3" t="str">
        <f aca="false">INDEX(Normalized!$E$1:$I$1,MATCH(L4,Normalized!E4:I4,0))</f>
        <v>B Deccan</v>
      </c>
      <c r="N4" s="5" t="n">
        <f aca="false">C4*L4</f>
        <v>1451520</v>
      </c>
      <c r="O4" s="5" t="n">
        <f aca="false">C4*Normalized!K4</f>
        <v>1652000</v>
      </c>
    </row>
    <row r="5" customFormat="false" ht="15" hidden="false" customHeight="false" outlineLevel="0" collapsed="false">
      <c r="A5" s="3" t="n">
        <f aca="false">Normalized!A5</f>
        <v>4</v>
      </c>
      <c r="B5" s="3" t="str">
        <f aca="false">Normalized!B5</f>
        <v>3-ply RSC shipper box 18x14x12 in</v>
      </c>
      <c r="C5" s="3" t="n">
        <f aca="false">Normalized!D5</f>
        <v>42000</v>
      </c>
      <c r="D5" s="3" t="n">
        <f aca="false">IF(AND(Eligibility!$D$2=1,ISNUMBER(Normalized!E5)),Normalized!E5,"")</f>
        <v>36.5</v>
      </c>
      <c r="E5" s="3" t="str">
        <f aca="false">IF(AND(Eligibility!$D$3=1,ISNUMBER(Normalized!F5)),Normalized!F5,"")</f>
        <v/>
      </c>
      <c r="F5" s="3" t="n">
        <f aca="false">IF(AND(Eligibility!$D$4=1,ISNUMBER(Normalized!G5)),Normalized!G5,"")</f>
        <v>38</v>
      </c>
      <c r="G5" s="3" t="n">
        <f aca="false">IF(AND(Eligibility!$D$5=1,ISNUMBER(Normalized!H5)),Normalized!H5,"")</f>
        <v>38.5</v>
      </c>
      <c r="H5" s="3" t="str">
        <f aca="false">IF(AND(Eligibility!$D$6=1,ISNUMBER(Normalized!I5)),Normalized!I5,"")</f>
        <v/>
      </c>
      <c r="I5" s="3" t="n">
        <f aca="false">IF(COUNT(D5:H5)=0,"",MIN(D5:H5))</f>
        <v>36.5</v>
      </c>
      <c r="J5" s="3" t="str">
        <f aca="false">IF(I5="","",INDEX($D$1:$H$1,MATCH(I5,D5:H5,0)))</f>
        <v>A Shree</v>
      </c>
      <c r="K5" s="5" t="n">
        <f aca="false">IF(I5="","",C5*I5)</f>
        <v>1533000</v>
      </c>
      <c r="L5" s="3" t="n">
        <f aca="false">MIN(Normalized!E5:I5)</f>
        <v>32.64</v>
      </c>
      <c r="M5" s="3" t="str">
        <f aca="false">INDEX(Normalized!$E$1:$I$1,MATCH(L5,Normalized!E5:I5,0))</f>
        <v>B Deccan</v>
      </c>
      <c r="N5" s="5" t="n">
        <f aca="false">C5*L5</f>
        <v>1370880</v>
      </c>
      <c r="O5" s="5" t="n">
        <f aca="false">C5*Normalized!K5</f>
        <v>1659000</v>
      </c>
    </row>
    <row r="6" customFormat="false" ht="15" hidden="false" customHeight="false" outlineLevel="0" collapsed="false">
      <c r="A6" s="3" t="n">
        <f aca="false">Normalized!A6</f>
        <v>5</v>
      </c>
      <c r="B6" s="3" t="str">
        <f aca="false">Normalized!B6</f>
        <v>3-ply RSC shipper box 20x16x12 in</v>
      </c>
      <c r="C6" s="3" t="n">
        <f aca="false">Normalized!D6</f>
        <v>28000</v>
      </c>
      <c r="D6" s="3" t="n">
        <f aca="false">IF(AND(Eligibility!$D$2=1,ISNUMBER(Normalized!E6)),Normalized!E6,"")</f>
        <v>52</v>
      </c>
      <c r="E6" s="3" t="str">
        <f aca="false">IF(AND(Eligibility!$D$3=1,ISNUMBER(Normalized!F6)),Normalized!F6,"")</f>
        <v/>
      </c>
      <c r="F6" s="3" t="n">
        <f aca="false">IF(AND(Eligibility!$D$4=1,ISNUMBER(Normalized!G6)),Normalized!G6,"")</f>
        <v>52</v>
      </c>
      <c r="G6" s="3" t="n">
        <f aca="false">IF(AND(Eligibility!$D$5=1,ISNUMBER(Normalized!H6)),Normalized!H6,"")</f>
        <v>50</v>
      </c>
      <c r="H6" s="3" t="str">
        <f aca="false">IF(AND(Eligibility!$D$6=1,ISNUMBER(Normalized!I6)),Normalized!I6,"")</f>
        <v/>
      </c>
      <c r="I6" s="3" t="n">
        <f aca="false">IF(COUNT(D6:H6)=0,"",MIN(D6:H6))</f>
        <v>50</v>
      </c>
      <c r="J6" s="3" t="str">
        <f aca="false">IF(I6="","",INDEX($D$1:$H$1,MATCH(I6,D6:H6,0)))</f>
        <v>D Maruti</v>
      </c>
      <c r="K6" s="5" t="n">
        <f aca="false">IF(I6="","",C6*I6)</f>
        <v>1400000</v>
      </c>
      <c r="L6" s="3" t="n">
        <f aca="false">MIN(Normalized!E6:I6)</f>
        <v>44.64</v>
      </c>
      <c r="M6" s="3" t="str">
        <f aca="false">INDEX(Normalized!$E$1:$I$1,MATCH(L6,Normalized!E6:I6,0))</f>
        <v>B Deccan</v>
      </c>
      <c r="N6" s="5" t="n">
        <f aca="false">C6*L6</f>
        <v>1249920</v>
      </c>
      <c r="O6" s="5" t="n">
        <f aca="false">C6*Normalized!K6</f>
        <v>1484000</v>
      </c>
    </row>
    <row r="7" customFormat="false" ht="15" hidden="false" customHeight="false" outlineLevel="0" collapsed="false">
      <c r="A7" s="3" t="n">
        <f aca="false">Normalized!A7</f>
        <v>6</v>
      </c>
      <c r="B7" s="3" t="str">
        <f aca="false">Normalized!B7</f>
        <v>5-ply RSC shipper box 12x10x8 in</v>
      </c>
      <c r="C7" s="3" t="n">
        <f aca="false">Normalized!D7</f>
        <v>70000</v>
      </c>
      <c r="D7" s="3" t="n">
        <f aca="false">IF(AND(Eligibility!$D$2=1,ISNUMBER(Normalized!E7)),Normalized!E7,"")</f>
        <v>33.5</v>
      </c>
      <c r="E7" s="3" t="str">
        <f aca="false">IF(AND(Eligibility!$D$3=1,ISNUMBER(Normalized!F7)),Normalized!F7,"")</f>
        <v/>
      </c>
      <c r="F7" s="3" t="n">
        <f aca="false">IF(AND(Eligibility!$D$4=1,ISNUMBER(Normalized!G7)),Normalized!G7,"")</f>
        <v>33.5</v>
      </c>
      <c r="G7" s="3" t="n">
        <f aca="false">IF(AND(Eligibility!$D$5=1,ISNUMBER(Normalized!H7)),Normalized!H7,"")</f>
        <v>33</v>
      </c>
      <c r="H7" s="3" t="str">
        <f aca="false">IF(AND(Eligibility!$D$6=1,ISNUMBER(Normalized!I7)),Normalized!I7,"")</f>
        <v/>
      </c>
      <c r="I7" s="3" t="n">
        <f aca="false">IF(COUNT(D7:H7)=0,"",MIN(D7:H7))</f>
        <v>33</v>
      </c>
      <c r="J7" s="3" t="str">
        <f aca="false">IF(I7="","",INDEX($D$1:$H$1,MATCH(I7,D7:H7,0)))</f>
        <v>D Maruti</v>
      </c>
      <c r="K7" s="5" t="n">
        <f aca="false">IF(I7="","",C7*I7)</f>
        <v>2310000</v>
      </c>
      <c r="L7" s="3" t="n">
        <f aca="false">MIN(Normalized!E7:I7)</f>
        <v>29.76</v>
      </c>
      <c r="M7" s="3" t="str">
        <f aca="false">INDEX(Normalized!$E$1:$I$1,MATCH(L7,Normalized!E7:I7,0))</f>
        <v>B Deccan</v>
      </c>
      <c r="N7" s="5" t="n">
        <f aca="false">C7*L7</f>
        <v>2083200</v>
      </c>
      <c r="O7" s="5" t="n">
        <f aca="false">C7*Normalized!K7</f>
        <v>2415000</v>
      </c>
    </row>
    <row r="8" customFormat="false" ht="15" hidden="false" customHeight="false" outlineLevel="0" collapsed="false">
      <c r="A8" s="3" t="n">
        <f aca="false">Normalized!A8</f>
        <v>7</v>
      </c>
      <c r="B8" s="3" t="str">
        <f aca="false">Normalized!B8</f>
        <v>5-ply RSC shipper box 14x12x10 in</v>
      </c>
      <c r="C8" s="3" t="n">
        <f aca="false">Normalized!D8</f>
        <v>56000</v>
      </c>
      <c r="D8" s="3" t="n">
        <f aca="false">IF(AND(Eligibility!$D$2=1,ISNUMBER(Normalized!E8)),Normalized!E8,"")</f>
        <v>42.5</v>
      </c>
      <c r="E8" s="3" t="str">
        <f aca="false">IF(AND(Eligibility!$D$3=1,ISNUMBER(Normalized!F8)),Normalized!F8,"")</f>
        <v/>
      </c>
      <c r="F8" s="3" t="n">
        <f aca="false">IF(AND(Eligibility!$D$4=1,ISNUMBER(Normalized!G8)),Normalized!G8,"")</f>
        <v>44.5</v>
      </c>
      <c r="G8" s="3" t="n">
        <f aca="false">IF(AND(Eligibility!$D$5=1,ISNUMBER(Normalized!H8)),Normalized!H8,"")</f>
        <v>42.5</v>
      </c>
      <c r="H8" s="3" t="str">
        <f aca="false">IF(AND(Eligibility!$D$6=1,ISNUMBER(Normalized!I8)),Normalized!I8,"")</f>
        <v/>
      </c>
      <c r="I8" s="3" t="n">
        <f aca="false">IF(COUNT(D8:H8)=0,"",MIN(D8:H8))</f>
        <v>42.5</v>
      </c>
      <c r="J8" s="3" t="str">
        <f aca="false">IF(I8="","",INDEX($D$1:$H$1,MATCH(I8,D8:H8,0)))</f>
        <v>A Shree</v>
      </c>
      <c r="K8" s="5" t="n">
        <f aca="false">IF(I8="","",C8*I8)</f>
        <v>2380000</v>
      </c>
      <c r="L8" s="3" t="n">
        <f aca="false">MIN(Normalized!E8:I8)</f>
        <v>39.84</v>
      </c>
      <c r="M8" s="3" t="str">
        <f aca="false">INDEX(Normalized!$E$1:$I$1,MATCH(L8,Normalized!E8:I8,0))</f>
        <v>B Deccan</v>
      </c>
      <c r="N8" s="5" t="n">
        <f aca="false">C8*L8</f>
        <v>2231040</v>
      </c>
      <c r="O8" s="5" t="n">
        <f aca="false">C8*Normalized!K8</f>
        <v>2520000</v>
      </c>
    </row>
    <row r="9" customFormat="false" ht="15" hidden="false" customHeight="false" outlineLevel="0" collapsed="false">
      <c r="A9" s="3" t="n">
        <f aca="false">Normalized!A9</f>
        <v>8</v>
      </c>
      <c r="B9" s="3" t="str">
        <f aca="false">Normalized!B9</f>
        <v>5-ply RSC shipper box 16x12x10 in</v>
      </c>
      <c r="C9" s="3" t="n">
        <f aca="false">Normalized!D9</f>
        <v>49000</v>
      </c>
      <c r="D9" s="3" t="n">
        <f aca="false">IF(AND(Eligibility!$D$2=1,ISNUMBER(Normalized!E9)),Normalized!E9,"")</f>
        <v>52</v>
      </c>
      <c r="E9" s="3" t="str">
        <f aca="false">IF(AND(Eligibility!$D$3=1,ISNUMBER(Normalized!F9)),Normalized!F9,"")</f>
        <v/>
      </c>
      <c r="F9" s="3" t="n">
        <f aca="false">IF(AND(Eligibility!$D$4=1,ISNUMBER(Normalized!G9)),Normalized!G9,"")</f>
        <v>53.5</v>
      </c>
      <c r="G9" s="3" t="n">
        <f aca="false">IF(AND(Eligibility!$D$5=1,ISNUMBER(Normalized!H9)),Normalized!H9,"")</f>
        <v>52.5</v>
      </c>
      <c r="H9" s="3" t="str">
        <f aca="false">IF(AND(Eligibility!$D$6=1,ISNUMBER(Normalized!I9)),Normalized!I9,"")</f>
        <v/>
      </c>
      <c r="I9" s="3" t="n">
        <f aca="false">IF(COUNT(D9:H9)=0,"",MIN(D9:H9))</f>
        <v>52</v>
      </c>
      <c r="J9" s="3" t="str">
        <f aca="false">IF(I9="","",INDEX($D$1:$H$1,MATCH(I9,D9:H9,0)))</f>
        <v>A Shree</v>
      </c>
      <c r="K9" s="5" t="n">
        <f aca="false">IF(I9="","",C9*I9)</f>
        <v>2548000</v>
      </c>
      <c r="L9" s="3" t="n">
        <f aca="false">MIN(Normalized!E9:I9)</f>
        <v>46.08</v>
      </c>
      <c r="M9" s="3" t="str">
        <f aca="false">INDEX(Normalized!$E$1:$I$1,MATCH(L9,Normalized!E9:I9,0))</f>
        <v>B Deccan</v>
      </c>
      <c r="N9" s="5" t="n">
        <f aca="false">C9*L9</f>
        <v>2257920</v>
      </c>
      <c r="O9" s="5" t="n">
        <f aca="false">C9*Normalized!K9</f>
        <v>2621500</v>
      </c>
    </row>
    <row r="10" customFormat="false" ht="15" hidden="false" customHeight="false" outlineLevel="0" collapsed="false">
      <c r="A10" s="3" t="n">
        <f aca="false">Normalized!A10</f>
        <v>9</v>
      </c>
      <c r="B10" s="3" t="str">
        <f aca="false">Normalized!B10</f>
        <v>5-ply RSC shipper box 18x14x12 in</v>
      </c>
      <c r="C10" s="3" t="n">
        <f aca="false">Normalized!D10</f>
        <v>35000</v>
      </c>
      <c r="D10" s="3" t="n">
        <f aca="false">IF(AND(Eligibility!$D$2=1,ISNUMBER(Normalized!E10)),Normalized!E10,"")</f>
        <v>65.5</v>
      </c>
      <c r="E10" s="3" t="str">
        <f aca="false">IF(AND(Eligibility!$D$3=1,ISNUMBER(Normalized!F10)),Normalized!F10,"")</f>
        <v/>
      </c>
      <c r="F10" s="3" t="n">
        <f aca="false">IF(AND(Eligibility!$D$4=1,ISNUMBER(Normalized!G10)),Normalized!G10,"")</f>
        <v>67</v>
      </c>
      <c r="G10" s="3" t="n">
        <f aca="false">IF(AND(Eligibility!$D$5=1,ISNUMBER(Normalized!H10)),Normalized!H10,"")</f>
        <v>69</v>
      </c>
      <c r="H10" s="3" t="str">
        <f aca="false">IF(AND(Eligibility!$D$6=1,ISNUMBER(Normalized!I10)),Normalized!I10,"")</f>
        <v/>
      </c>
      <c r="I10" s="3" t="n">
        <f aca="false">IF(COUNT(D10:H10)=0,"",MIN(D10:H10))</f>
        <v>65.5</v>
      </c>
      <c r="J10" s="3" t="str">
        <f aca="false">IF(I10="","",INDEX($D$1:$H$1,MATCH(I10,D10:H10,0)))</f>
        <v>A Shree</v>
      </c>
      <c r="K10" s="5" t="n">
        <f aca="false">IF(I10="","",C10*I10)</f>
        <v>2292500</v>
      </c>
      <c r="L10" s="3" t="n">
        <f aca="false">MIN(Normalized!E10:I10)</f>
        <v>60</v>
      </c>
      <c r="M10" s="3" t="str">
        <f aca="false">INDEX(Normalized!$E$1:$I$1,MATCH(L10,Normalized!E10:I10,0))</f>
        <v>B Deccan</v>
      </c>
      <c r="N10" s="5" t="n">
        <f aca="false">C10*L10</f>
        <v>2100000</v>
      </c>
      <c r="O10" s="5" t="n">
        <f aca="false">C10*Normalized!K10</f>
        <v>2467500</v>
      </c>
    </row>
    <row r="11" customFormat="false" ht="15" hidden="false" customHeight="false" outlineLevel="0" collapsed="false">
      <c r="A11" s="3" t="n">
        <f aca="false">Normalized!A11</f>
        <v>10</v>
      </c>
      <c r="B11" s="3" t="str">
        <f aca="false">Normalized!B11</f>
        <v>5-ply RSC shipper box 20x16x12 in</v>
      </c>
      <c r="C11" s="3" t="n">
        <f aca="false">Normalized!D11</f>
        <v>21000</v>
      </c>
      <c r="D11" s="3" t="n">
        <f aca="false">IF(AND(Eligibility!$D$2=1,ISNUMBER(Normalized!E11)),Normalized!E11,"")</f>
        <v>91.8</v>
      </c>
      <c r="E11" s="3" t="str">
        <f aca="false">IF(AND(Eligibility!$D$3=1,ISNUMBER(Normalized!F11)),Normalized!F11,"")</f>
        <v/>
      </c>
      <c r="F11" s="3" t="n">
        <f aca="false">IF(AND(Eligibility!$D$4=1,ISNUMBER(Normalized!G11)),Normalized!G11,"")</f>
        <v>92.5</v>
      </c>
      <c r="G11" s="3" t="n">
        <f aca="false">IF(AND(Eligibility!$D$5=1,ISNUMBER(Normalized!H11)),Normalized!H11,"")</f>
        <v>87.5</v>
      </c>
      <c r="H11" s="3" t="str">
        <f aca="false">IF(AND(Eligibility!$D$6=1,ISNUMBER(Normalized!I11)),Normalized!I11,"")</f>
        <v/>
      </c>
      <c r="I11" s="3" t="n">
        <f aca="false">IF(COUNT(D11:H11)=0,"",MIN(D11:H11))</f>
        <v>87.5</v>
      </c>
      <c r="J11" s="3" t="str">
        <f aca="false">IF(I11="","",INDEX($D$1:$H$1,MATCH(I11,D11:H11,0)))</f>
        <v>D Maruti</v>
      </c>
      <c r="K11" s="5" t="n">
        <f aca="false">IF(I11="","",C11*I11)</f>
        <v>1837500</v>
      </c>
      <c r="L11" s="3" t="n">
        <f aca="false">MIN(Normalized!E11:I11)</f>
        <v>82.56</v>
      </c>
      <c r="M11" s="3" t="str">
        <f aca="false">INDEX(Normalized!$E$1:$I$1,MATCH(L11,Normalized!E11:I11,0))</f>
        <v>B Deccan</v>
      </c>
      <c r="N11" s="5" t="n">
        <f aca="false">C11*L11</f>
        <v>1733760</v>
      </c>
      <c r="O11" s="5" t="n">
        <f aca="false">C11*Normalized!K11</f>
        <v>1974000</v>
      </c>
    </row>
    <row r="12" customFormat="false" ht="15" hidden="false" customHeight="false" outlineLevel="0" collapsed="false">
      <c r="A12" s="3" t="n">
        <f aca="false">Normalized!A12</f>
        <v>11</v>
      </c>
      <c r="B12" s="3" t="str">
        <f aca="false">Normalized!B12</f>
        <v>7-ply RSC shipper box 16x12x10 in</v>
      </c>
      <c r="C12" s="3" t="n">
        <f aca="false">Normalized!D12</f>
        <v>21000</v>
      </c>
      <c r="D12" s="3" t="n">
        <f aca="false">IF(AND(Eligibility!$D$2=1,ISNUMBER(Normalized!E12)),Normalized!E12,"")</f>
        <v>75.65</v>
      </c>
      <c r="E12" s="3" t="str">
        <f aca="false">IF(AND(Eligibility!$D$3=1,ISNUMBER(Normalized!F12)),Normalized!F12,"")</f>
        <v/>
      </c>
      <c r="F12" s="3" t="n">
        <f aca="false">IF(AND(Eligibility!$D$4=1,ISNUMBER(Normalized!G12)),Normalized!G12,"")</f>
        <v>74.5</v>
      </c>
      <c r="G12" s="3" t="n">
        <f aca="false">IF(AND(Eligibility!$D$5=1,ISNUMBER(Normalized!H12)),Normalized!H12,"")</f>
        <v>74.5</v>
      </c>
      <c r="H12" s="3" t="str">
        <f aca="false">IF(AND(Eligibility!$D$6=1,ISNUMBER(Normalized!I12)),Normalized!I12,"")</f>
        <v/>
      </c>
      <c r="I12" s="3" t="n">
        <f aca="false">IF(COUNT(D12:H12)=0,"",MIN(D12:H12))</f>
        <v>74.5</v>
      </c>
      <c r="J12" s="3" t="str">
        <f aca="false">IF(I12="","",INDEX($D$1:$H$1,MATCH(I12,D12:H12,0)))</f>
        <v>C Pune Box</v>
      </c>
      <c r="K12" s="5" t="n">
        <f aca="false">IF(I12="","",C12*I12)</f>
        <v>1564500</v>
      </c>
      <c r="L12" s="3" t="n">
        <f aca="false">MIN(Normalized!E12:I12)</f>
        <v>69.6</v>
      </c>
      <c r="M12" s="3" t="str">
        <f aca="false">INDEX(Normalized!$E$1:$I$1,MATCH(L12,Normalized!E12:I12,0))</f>
        <v>B Deccan</v>
      </c>
      <c r="N12" s="5" t="n">
        <f aca="false">C12*L12</f>
        <v>1461600</v>
      </c>
      <c r="O12" s="5" t="n">
        <f aca="false">C12*Normalized!K12</f>
        <v>1669500</v>
      </c>
    </row>
    <row r="13" customFormat="false" ht="15" hidden="false" customHeight="false" outlineLevel="0" collapsed="false">
      <c r="A13" s="3" t="n">
        <f aca="false">Normalized!A13</f>
        <v>12</v>
      </c>
      <c r="B13" s="3" t="str">
        <f aca="false">Normalized!B13</f>
        <v>7-ply RSC shipper box 18x14x12 in</v>
      </c>
      <c r="C13" s="3" t="n">
        <f aca="false">Normalized!D13</f>
        <v>14000</v>
      </c>
      <c r="D13" s="3" t="n">
        <f aca="false">IF(AND(Eligibility!$D$2=1,ISNUMBER(Normalized!E13)),Normalized!E13,"")</f>
        <v>98.6</v>
      </c>
      <c r="E13" s="3" t="str">
        <f aca="false">IF(AND(Eligibility!$D$3=1,ISNUMBER(Normalized!F13)),Normalized!F13,"")</f>
        <v/>
      </c>
      <c r="F13" s="3" t="n">
        <f aca="false">IF(AND(Eligibility!$D$4=1,ISNUMBER(Normalized!G13)),Normalized!G13,"")</f>
        <v>103</v>
      </c>
      <c r="G13" s="3" t="n">
        <f aca="false">IF(AND(Eligibility!$D$5=1,ISNUMBER(Normalized!H13)),Normalized!H13,"")</f>
        <v>98</v>
      </c>
      <c r="H13" s="3" t="str">
        <f aca="false">IF(AND(Eligibility!$D$6=1,ISNUMBER(Normalized!I13)),Normalized!I13,"")</f>
        <v/>
      </c>
      <c r="I13" s="3" t="n">
        <f aca="false">IF(COUNT(D13:H13)=0,"",MIN(D13:H13))</f>
        <v>98</v>
      </c>
      <c r="J13" s="3" t="str">
        <f aca="false">IF(I13="","",INDEX($D$1:$H$1,MATCH(I13,D13:H13,0)))</f>
        <v>D Maruti</v>
      </c>
      <c r="K13" s="5" t="n">
        <f aca="false">IF(I13="","",C13*I13)</f>
        <v>1372000</v>
      </c>
      <c r="L13" s="3" t="n">
        <f aca="false">MIN(Normalized!E13:I13)</f>
        <v>89.76</v>
      </c>
      <c r="M13" s="3" t="str">
        <f aca="false">INDEX(Normalized!$E$1:$I$1,MATCH(L13,Normalized!E13:I13,0))</f>
        <v>B Deccan</v>
      </c>
      <c r="N13" s="5" t="n">
        <f aca="false">C13*L13</f>
        <v>1256640</v>
      </c>
      <c r="O13" s="5" t="n">
        <f aca="false">C13*Normalized!K13</f>
        <v>1470000</v>
      </c>
    </row>
    <row r="14" customFormat="false" ht="15" hidden="false" customHeight="false" outlineLevel="0" collapsed="false">
      <c r="A14" s="3" t="n">
        <f aca="false">Normalized!A14</f>
        <v>13</v>
      </c>
      <c r="B14" s="3" t="str">
        <f aca="false">Normalized!B14</f>
        <v>7-ply RSC shipper box 20x16x12 in</v>
      </c>
      <c r="C14" s="3" t="n">
        <f aca="false">Normalized!D14</f>
        <v>8400</v>
      </c>
      <c r="D14" s="3" t="n">
        <f aca="false">IF(AND(Eligibility!$D$2=1,ISNUMBER(Normalized!E14)),Normalized!E14,"")</f>
        <v>136.85</v>
      </c>
      <c r="E14" s="3" t="str">
        <f aca="false">IF(AND(Eligibility!$D$3=1,ISNUMBER(Normalized!F14)),Normalized!F14,"")</f>
        <v/>
      </c>
      <c r="F14" s="3" t="str">
        <f aca="false">IF(AND(Eligibility!$D$4=1,ISNUMBER(Normalized!G14)),Normalized!G14,"")</f>
        <v/>
      </c>
      <c r="G14" s="3" t="n">
        <f aca="false">IF(AND(Eligibility!$D$5=1,ISNUMBER(Normalized!H14)),Normalized!H14,"")</f>
        <v>132</v>
      </c>
      <c r="H14" s="3" t="str">
        <f aca="false">IF(AND(Eligibility!$D$6=1,ISNUMBER(Normalized!I14)),Normalized!I14,"")</f>
        <v/>
      </c>
      <c r="I14" s="3" t="n">
        <f aca="false">IF(COUNT(D14:H14)=0,"",MIN(D14:H14))</f>
        <v>132</v>
      </c>
      <c r="J14" s="3" t="str">
        <f aca="false">IF(I14="","",INDEX($D$1:$H$1,MATCH(I14,D14:H14,0)))</f>
        <v>D Maruti</v>
      </c>
      <c r="K14" s="5" t="n">
        <f aca="false">IF(I14="","",C14*I14)</f>
        <v>1108800</v>
      </c>
      <c r="L14" s="3" t="n">
        <f aca="false">MIN(Normalized!E14:I14)</f>
        <v>125.76</v>
      </c>
      <c r="M14" s="3" t="str">
        <f aca="false">INDEX(Normalized!$E$1:$I$1,MATCH(L14,Normalized!E14:I14,0))</f>
        <v>B Deccan</v>
      </c>
      <c r="N14" s="5" t="n">
        <f aca="false">C14*L14</f>
        <v>1056384</v>
      </c>
      <c r="O14" s="5" t="n">
        <f aca="false">C14*Normalized!K14</f>
        <v>1184400</v>
      </c>
    </row>
    <row r="15" customFormat="false" ht="15" hidden="false" customHeight="false" outlineLevel="0" collapsed="false">
      <c r="A15" s="3" t="n">
        <f aca="false">Normalized!A15</f>
        <v>14</v>
      </c>
      <c r="B15" s="3" t="str">
        <f aca="false">Normalized!B15</f>
        <v>Die-cut mailer Small 8x6x2 in</v>
      </c>
      <c r="C15" s="3" t="n">
        <f aca="false">Normalized!D15</f>
        <v>56000</v>
      </c>
      <c r="D15" s="3" t="n">
        <f aca="false">IF(AND(Eligibility!$D$2=1,ISNUMBER(Normalized!E15)),Normalized!E15,"")</f>
        <v>12.5</v>
      </c>
      <c r="E15" s="3" t="str">
        <f aca="false">IF(AND(Eligibility!$D$3=1,ISNUMBER(Normalized!F15)),Normalized!F15,"")</f>
        <v/>
      </c>
      <c r="F15" s="3" t="n">
        <f aca="false">IF(AND(Eligibility!$D$4=1,ISNUMBER(Normalized!G15)),Normalized!G15,"")</f>
        <v>12.5</v>
      </c>
      <c r="G15" s="3" t="n">
        <f aca="false">IF(AND(Eligibility!$D$5=1,ISNUMBER(Normalized!H15)),Normalized!H15,"")</f>
        <v>11.5</v>
      </c>
      <c r="H15" s="3" t="str">
        <f aca="false">IF(AND(Eligibility!$D$6=1,ISNUMBER(Normalized!I15)),Normalized!I15,"")</f>
        <v/>
      </c>
      <c r="I15" s="3" t="n">
        <f aca="false">IF(COUNT(D15:H15)=0,"",MIN(D15:H15))</f>
        <v>11.5</v>
      </c>
      <c r="J15" s="3" t="str">
        <f aca="false">IF(I15="","",INDEX($D$1:$H$1,MATCH(I15,D15:H15,0)))</f>
        <v>D Maruti</v>
      </c>
      <c r="K15" s="5" t="n">
        <f aca="false">IF(I15="","",C15*I15)</f>
        <v>644000</v>
      </c>
      <c r="L15" s="3" t="n">
        <f aca="false">MIN(Normalized!E15:I15)</f>
        <v>11.04</v>
      </c>
      <c r="M15" s="3" t="str">
        <f aca="false">INDEX(Normalized!$E$1:$I$1,MATCH(L15,Normalized!E15:I15,0))</f>
        <v>B Deccan</v>
      </c>
      <c r="N15" s="5" t="n">
        <f aca="false">C15*L15</f>
        <v>618240</v>
      </c>
      <c r="O15" s="5" t="n">
        <f aca="false">C15*Normalized!K15</f>
        <v>700000</v>
      </c>
    </row>
    <row r="16" customFormat="false" ht="15" hidden="false" customHeight="false" outlineLevel="0" collapsed="false">
      <c r="A16" s="3" t="n">
        <f aca="false">Normalized!A16</f>
        <v>15</v>
      </c>
      <c r="B16" s="3" t="str">
        <f aca="false">Normalized!B16</f>
        <v>Die-cut mailer Medium 10x8x3 in</v>
      </c>
      <c r="C16" s="3" t="n">
        <f aca="false">Normalized!D16</f>
        <v>49000</v>
      </c>
      <c r="D16" s="3" t="n">
        <f aca="false">IF(AND(Eligibility!$D$2=1,ISNUMBER(Normalized!E16)),Normalized!E16,"")</f>
        <v>15.5</v>
      </c>
      <c r="E16" s="3" t="str">
        <f aca="false">IF(AND(Eligibility!$D$3=1,ISNUMBER(Normalized!F16)),Normalized!F16,"")</f>
        <v/>
      </c>
      <c r="F16" s="3" t="n">
        <f aca="false">IF(AND(Eligibility!$D$4=1,ISNUMBER(Normalized!G16)),Normalized!G16,"")</f>
        <v>16</v>
      </c>
      <c r="G16" s="3" t="n">
        <f aca="false">IF(AND(Eligibility!$D$5=1,ISNUMBER(Normalized!H16)),Normalized!H16,"")</f>
        <v>16</v>
      </c>
      <c r="H16" s="3" t="str">
        <f aca="false">IF(AND(Eligibility!$D$6=1,ISNUMBER(Normalized!I16)),Normalized!I16,"")</f>
        <v/>
      </c>
      <c r="I16" s="3" t="n">
        <f aca="false">IF(COUNT(D16:H16)=0,"",MIN(D16:H16))</f>
        <v>15.5</v>
      </c>
      <c r="J16" s="3" t="str">
        <f aca="false">IF(I16="","",INDEX($D$1:$H$1,MATCH(I16,D16:H16,0)))</f>
        <v>A Shree</v>
      </c>
      <c r="K16" s="5" t="n">
        <f aca="false">IF(I16="","",C16*I16)</f>
        <v>759500</v>
      </c>
      <c r="L16" s="3" t="n">
        <f aca="false">MIN(Normalized!E16:I16)</f>
        <v>13.92</v>
      </c>
      <c r="M16" s="3" t="str">
        <f aca="false">INDEX(Normalized!$E$1:$I$1,MATCH(L16,Normalized!E16:I16,0))</f>
        <v>B Deccan</v>
      </c>
      <c r="N16" s="5" t="n">
        <f aca="false">C16*L16</f>
        <v>682080</v>
      </c>
      <c r="O16" s="5" t="n">
        <f aca="false">C16*Normalized!K16</f>
        <v>808500</v>
      </c>
    </row>
    <row r="17" customFormat="false" ht="15" hidden="false" customHeight="false" outlineLevel="0" collapsed="false">
      <c r="A17" s="3" t="n">
        <f aca="false">Normalized!A17</f>
        <v>16</v>
      </c>
      <c r="B17" s="3" t="str">
        <f aca="false">Normalized!B17</f>
        <v>Die-cut mailer Large 12x9x4 in</v>
      </c>
      <c r="C17" s="3" t="n">
        <f aca="false">Normalized!D17</f>
        <v>35000</v>
      </c>
      <c r="D17" s="3" t="n">
        <f aca="false">IF(AND(Eligibility!$D$2=1,ISNUMBER(Normalized!E17)),Normalized!E17,"")</f>
        <v>21.5</v>
      </c>
      <c r="E17" s="3" t="str">
        <f aca="false">IF(AND(Eligibility!$D$3=1,ISNUMBER(Normalized!F17)),Normalized!F17,"")</f>
        <v/>
      </c>
      <c r="F17" s="3" t="n">
        <f aca="false">IF(AND(Eligibility!$D$4=1,ISNUMBER(Normalized!G17)),Normalized!G17,"")</f>
        <v>21.5</v>
      </c>
      <c r="G17" s="3" t="n">
        <f aca="false">IF(AND(Eligibility!$D$5=1,ISNUMBER(Normalized!H17)),Normalized!H17,"")</f>
        <v>21</v>
      </c>
      <c r="H17" s="3" t="str">
        <f aca="false">IF(AND(Eligibility!$D$6=1,ISNUMBER(Normalized!I17)),Normalized!I17,"")</f>
        <v/>
      </c>
      <c r="I17" s="3" t="n">
        <f aca="false">IF(COUNT(D17:H17)=0,"",MIN(D17:H17))</f>
        <v>21</v>
      </c>
      <c r="J17" s="3" t="str">
        <f aca="false">IF(I17="","",INDEX($D$1:$H$1,MATCH(I17,D17:H17,0)))</f>
        <v>D Maruti</v>
      </c>
      <c r="K17" s="5" t="n">
        <f aca="false">IF(I17="","",C17*I17)</f>
        <v>735000</v>
      </c>
      <c r="L17" s="3" t="n">
        <f aca="false">MIN(Normalized!E17:I17)</f>
        <v>19.68</v>
      </c>
      <c r="M17" s="3" t="str">
        <f aca="false">INDEX(Normalized!$E$1:$I$1,MATCH(L17,Normalized!E17:I17,0))</f>
        <v>B Deccan</v>
      </c>
      <c r="N17" s="5" t="n">
        <f aca="false">C17*L17</f>
        <v>688800</v>
      </c>
      <c r="O17" s="5" t="n">
        <f aca="false">C17*Normalized!K17</f>
        <v>805000</v>
      </c>
    </row>
    <row r="18" customFormat="false" ht="15" hidden="false" customHeight="false" outlineLevel="0" collapsed="false">
      <c r="A18" s="3" t="n">
        <f aca="false">Normalized!A18</f>
        <v>17</v>
      </c>
      <c r="B18" s="3" t="str">
        <f aca="false">Normalized!B18</f>
        <v>Die-cut mailer XL 14x10x5 in</v>
      </c>
      <c r="C18" s="3" t="n">
        <f aca="false">Normalized!D18</f>
        <v>21000</v>
      </c>
      <c r="D18" s="3" t="n">
        <f aca="false">IF(AND(Eligibility!$D$2=1,ISNUMBER(Normalized!E18)),Normalized!E18,"")</f>
        <v>31.5</v>
      </c>
      <c r="E18" s="3" t="str">
        <f aca="false">IF(AND(Eligibility!$D$3=1,ISNUMBER(Normalized!F18)),Normalized!F18,"")</f>
        <v/>
      </c>
      <c r="F18" s="3" t="str">
        <f aca="false">IF(AND(Eligibility!$D$4=1,ISNUMBER(Normalized!G18)),Normalized!G18,"")</f>
        <v/>
      </c>
      <c r="G18" s="3" t="n">
        <f aca="false">IF(AND(Eligibility!$D$5=1,ISNUMBER(Normalized!H18)),Normalized!H18,"")</f>
        <v>29</v>
      </c>
      <c r="H18" s="3" t="str">
        <f aca="false">IF(AND(Eligibility!$D$6=1,ISNUMBER(Normalized!I18)),Normalized!I18,"")</f>
        <v/>
      </c>
      <c r="I18" s="3" t="n">
        <f aca="false">IF(COUNT(D18:H18)=0,"",MIN(D18:H18))</f>
        <v>29</v>
      </c>
      <c r="J18" s="3" t="str">
        <f aca="false">IF(I18="","",INDEX($D$1:$H$1,MATCH(I18,D18:H18,0)))</f>
        <v>D Maruti</v>
      </c>
      <c r="K18" s="5" t="n">
        <f aca="false">IF(I18="","",C18*I18)</f>
        <v>609000</v>
      </c>
      <c r="L18" s="3" t="n">
        <f aca="false">MIN(Normalized!E18:I18)</f>
        <v>27.84</v>
      </c>
      <c r="M18" s="3" t="str">
        <f aca="false">INDEX(Normalized!$E$1:$I$1,MATCH(L18,Normalized!E18:I18,0))</f>
        <v>B Deccan</v>
      </c>
      <c r="N18" s="5" t="n">
        <f aca="false">C18*L18</f>
        <v>584640</v>
      </c>
      <c r="O18" s="5" t="n">
        <f aca="false">C18*Normalized!K18</f>
        <v>682500</v>
      </c>
    </row>
    <row r="19" customFormat="false" ht="15" hidden="false" customHeight="false" outlineLevel="0" collapsed="false">
      <c r="A19" s="3" t="n">
        <f aca="false">Normalized!A19</f>
        <v>18</v>
      </c>
      <c r="B19" s="3" t="str">
        <f aca="false">Normalized!B19</f>
        <v>4-cell partition 12x10 in</v>
      </c>
      <c r="C19" s="3" t="n">
        <f aca="false">Normalized!D19</f>
        <v>84000</v>
      </c>
      <c r="D19" s="3" t="n">
        <f aca="false">IF(AND(Eligibility!$D$2=1,ISNUMBER(Normalized!E19)),Normalized!E19,"")</f>
        <v>6</v>
      </c>
      <c r="E19" s="3" t="str">
        <f aca="false">IF(AND(Eligibility!$D$3=1,ISNUMBER(Normalized!F19)),Normalized!F19,"")</f>
        <v/>
      </c>
      <c r="F19" s="3" t="n">
        <f aca="false">IF(AND(Eligibility!$D$4=1,ISNUMBER(Normalized!G19)),Normalized!G19,"")</f>
        <v>6</v>
      </c>
      <c r="G19" s="3" t="n">
        <f aca="false">IF(AND(Eligibility!$D$5=1,ISNUMBER(Normalized!H19)),Normalized!H19,"")</f>
        <v>6</v>
      </c>
      <c r="H19" s="3" t="str">
        <f aca="false">IF(AND(Eligibility!$D$6=1,ISNUMBER(Normalized!I19)),Normalized!I19,"")</f>
        <v/>
      </c>
      <c r="I19" s="3" t="n">
        <f aca="false">IF(COUNT(D19:H19)=0,"",MIN(D19:H19))</f>
        <v>6</v>
      </c>
      <c r="J19" s="3" t="str">
        <f aca="false">IF(I19="","",INDEX($D$1:$H$1,MATCH(I19,D19:H19,0)))</f>
        <v>A Shree</v>
      </c>
      <c r="K19" s="5" t="n">
        <f aca="false">IF(I19="","",C19*I19)</f>
        <v>504000</v>
      </c>
      <c r="L19" s="3" t="n">
        <f aca="false">MIN(Normalized!E19:I19)</f>
        <v>5.28</v>
      </c>
      <c r="M19" s="3" t="str">
        <f aca="false">INDEX(Normalized!$E$1:$I$1,MATCH(L19,Normalized!E19:I19,0))</f>
        <v>B Deccan</v>
      </c>
      <c r="N19" s="5" t="n">
        <f aca="false">C19*L19</f>
        <v>443520</v>
      </c>
      <c r="O19" s="5" t="n">
        <f aca="false">C19*Normalized!K19</f>
        <v>504000</v>
      </c>
    </row>
    <row r="20" customFormat="false" ht="15" hidden="false" customHeight="false" outlineLevel="0" collapsed="false">
      <c r="A20" s="3" t="n">
        <f aca="false">Normalized!A20</f>
        <v>19</v>
      </c>
      <c r="B20" s="3" t="str">
        <f aca="false">Normalized!B20</f>
        <v>6-cell partition 14x12 in</v>
      </c>
      <c r="C20" s="3" t="n">
        <f aca="false">Normalized!D20</f>
        <v>70000</v>
      </c>
      <c r="D20" s="3" t="n">
        <f aca="false">IF(AND(Eligibility!$D$2=1,ISNUMBER(Normalized!E20)),Normalized!E20,"")</f>
        <v>8</v>
      </c>
      <c r="E20" s="3" t="str">
        <f aca="false">IF(AND(Eligibility!$D$3=1,ISNUMBER(Normalized!F20)),Normalized!F20,"")</f>
        <v/>
      </c>
      <c r="F20" s="3" t="n">
        <f aca="false">IF(AND(Eligibility!$D$4=1,ISNUMBER(Normalized!G20)),Normalized!G20,"")</f>
        <v>7.5</v>
      </c>
      <c r="G20" s="3" t="n">
        <f aca="false">IF(AND(Eligibility!$D$5=1,ISNUMBER(Normalized!H20)),Normalized!H20,"")</f>
        <v>8</v>
      </c>
      <c r="H20" s="3" t="str">
        <f aca="false">IF(AND(Eligibility!$D$6=1,ISNUMBER(Normalized!I20)),Normalized!I20,"")</f>
        <v/>
      </c>
      <c r="I20" s="3" t="n">
        <f aca="false">IF(COUNT(D20:H20)=0,"",MIN(D20:H20))</f>
        <v>7.5</v>
      </c>
      <c r="J20" s="3" t="str">
        <f aca="false">IF(I20="","",INDEX($D$1:$H$1,MATCH(I20,D20:H20,0)))</f>
        <v>C Pune Box</v>
      </c>
      <c r="K20" s="5" t="n">
        <f aca="false">IF(I20="","",C20*I20)</f>
        <v>525000</v>
      </c>
      <c r="L20" s="3" t="n">
        <f aca="false">MIN(Normalized!E20:I20)</f>
        <v>7.2</v>
      </c>
      <c r="M20" s="3" t="str">
        <f aca="false">INDEX(Normalized!$E$1:$I$1,MATCH(L20,Normalized!E20:I20,0))</f>
        <v>B Deccan</v>
      </c>
      <c r="N20" s="5" t="n">
        <f aca="false">C20*L20</f>
        <v>504000</v>
      </c>
      <c r="O20" s="5" t="n">
        <f aca="false">C20*Normalized!K20</f>
        <v>560000</v>
      </c>
    </row>
    <row r="21" customFormat="false" ht="15" hidden="false" customHeight="false" outlineLevel="0" collapsed="false">
      <c r="A21" s="3" t="n">
        <f aca="false">Normalized!A21</f>
        <v>20</v>
      </c>
      <c r="B21" s="3" t="str">
        <f aca="false">Normalized!B21</f>
        <v>9-cell partition 16x12 in</v>
      </c>
      <c r="C21" s="3" t="n">
        <f aca="false">Normalized!D21</f>
        <v>56000</v>
      </c>
      <c r="D21" s="3" t="n">
        <f aca="false">IF(AND(Eligibility!$D$2=1,ISNUMBER(Normalized!E21)),Normalized!E21,"")</f>
        <v>11</v>
      </c>
      <c r="E21" s="3" t="str">
        <f aca="false">IF(AND(Eligibility!$D$3=1,ISNUMBER(Normalized!F21)),Normalized!F21,"")</f>
        <v/>
      </c>
      <c r="F21" s="3" t="n">
        <f aca="false">IF(AND(Eligibility!$D$4=1,ISNUMBER(Normalized!G21)),Normalized!G21,"")</f>
        <v>11</v>
      </c>
      <c r="G21" s="3" t="n">
        <f aca="false">IF(AND(Eligibility!$D$5=1,ISNUMBER(Normalized!H21)),Normalized!H21,"")</f>
        <v>11</v>
      </c>
      <c r="H21" s="3" t="str">
        <f aca="false">IF(AND(Eligibility!$D$6=1,ISNUMBER(Normalized!I21)),Normalized!I21,"")</f>
        <v/>
      </c>
      <c r="I21" s="3" t="n">
        <f aca="false">IF(COUNT(D21:H21)=0,"",MIN(D21:H21))</f>
        <v>11</v>
      </c>
      <c r="J21" s="3" t="str">
        <f aca="false">IF(I21="","",INDEX($D$1:$H$1,MATCH(I21,D21:H21,0)))</f>
        <v>A Shree</v>
      </c>
      <c r="K21" s="5" t="n">
        <f aca="false">IF(I21="","",C21*I21)</f>
        <v>616000</v>
      </c>
      <c r="L21" s="3" t="n">
        <f aca="false">MIN(Normalized!E21:I21)</f>
        <v>9.6</v>
      </c>
      <c r="M21" s="3" t="str">
        <f aca="false">INDEX(Normalized!$E$1:$I$1,MATCH(L21,Normalized!E21:I21,0))</f>
        <v>B Deccan</v>
      </c>
      <c r="N21" s="5" t="n">
        <f aca="false">C21*L21</f>
        <v>537600</v>
      </c>
      <c r="O21" s="5" t="n">
        <f aca="false">C21*Normalized!K21</f>
        <v>644000</v>
      </c>
    </row>
    <row r="22" customFormat="false" ht="15" hidden="false" customHeight="false" outlineLevel="0" collapsed="false">
      <c r="A22" s="3" t="n">
        <f aca="false">Normalized!A22</f>
        <v>21</v>
      </c>
      <c r="B22" s="3" t="str">
        <f aca="false">Normalized!B22</f>
        <v>3-ply corrugated sheet</v>
      </c>
      <c r="C22" s="3" t="n">
        <f aca="false">Normalized!D22</f>
        <v>56000</v>
      </c>
      <c r="D22" s="3" t="n">
        <f aca="false">IF(AND(Eligibility!$D$2=1,ISNUMBER(Normalized!E22)),Normalized!E22,"")</f>
        <v>39.5</v>
      </c>
      <c r="E22" s="3" t="str">
        <f aca="false">IF(AND(Eligibility!$D$3=1,ISNUMBER(Normalized!F22)),Normalized!F22,"")</f>
        <v/>
      </c>
      <c r="F22" s="3" t="n">
        <f aca="false">IF(AND(Eligibility!$D$4=1,ISNUMBER(Normalized!G22)),Normalized!G22,"")</f>
        <v>36.5</v>
      </c>
      <c r="G22" s="3" t="n">
        <f aca="false">IF(AND(Eligibility!$D$5=1,ISNUMBER(Normalized!H22)),Normalized!H22,"")</f>
        <v>38.5</v>
      </c>
      <c r="H22" s="3" t="str">
        <f aca="false">IF(AND(Eligibility!$D$6=1,ISNUMBER(Normalized!I22)),Normalized!I22,"")</f>
        <v/>
      </c>
      <c r="I22" s="3" t="n">
        <f aca="false">IF(COUNT(D22:H22)=0,"",MIN(D22:H22))</f>
        <v>36.5</v>
      </c>
      <c r="J22" s="3" t="str">
        <f aca="false">IF(I22="","",INDEX($D$1:$H$1,MATCH(I22,D22:H22,0)))</f>
        <v>C Pune Box</v>
      </c>
      <c r="K22" s="5" t="n">
        <f aca="false">IF(I22="","",C22*I22)</f>
        <v>2044000</v>
      </c>
      <c r="L22" s="3" t="n">
        <f aca="false">MIN(Normalized!E22:I22)</f>
        <v>35.04</v>
      </c>
      <c r="M22" s="3" t="str">
        <f aca="false">INDEX(Normalized!$E$1:$I$1,MATCH(L22,Normalized!E22:I22,0))</f>
        <v>B Deccan</v>
      </c>
      <c r="N22" s="5" t="n">
        <f aca="false">C22*L22</f>
        <v>1962240</v>
      </c>
      <c r="O22" s="5" t="n">
        <f aca="false">C22*Normalized!K22</f>
        <v>2072000</v>
      </c>
    </row>
    <row r="23" customFormat="false" ht="15" hidden="false" customHeight="false" outlineLevel="0" collapsed="false">
      <c r="A23" s="3" t="n">
        <f aca="false">Normalized!A23</f>
        <v>22</v>
      </c>
      <c r="B23" s="3" t="str">
        <f aca="false">Normalized!B23</f>
        <v>5-ply corrugated sheet</v>
      </c>
      <c r="C23" s="3" t="n">
        <f aca="false">Normalized!D23</f>
        <v>84000</v>
      </c>
      <c r="D23" s="3" t="n">
        <f aca="false">IF(AND(Eligibility!$D$2=1,ISNUMBER(Normalized!E23)),Normalized!E23,"")</f>
        <v>40.5</v>
      </c>
      <c r="E23" s="3" t="str">
        <f aca="false">IF(AND(Eligibility!$D$3=1,ISNUMBER(Normalized!F23)),Normalized!F23,"")</f>
        <v/>
      </c>
      <c r="F23" s="3" t="n">
        <f aca="false">IF(AND(Eligibility!$D$4=1,ISNUMBER(Normalized!G23)),Normalized!G23,"")</f>
        <v>40.5</v>
      </c>
      <c r="G23" s="3" t="n">
        <f aca="false">IF(AND(Eligibility!$D$5=1,ISNUMBER(Normalized!H23)),Normalized!H23,"")</f>
        <v>42</v>
      </c>
      <c r="H23" s="3" t="str">
        <f aca="false">IF(AND(Eligibility!$D$6=1,ISNUMBER(Normalized!I23)),Normalized!I23,"")</f>
        <v/>
      </c>
      <c r="I23" s="3" t="n">
        <f aca="false">IF(COUNT(D23:H23)=0,"",MIN(D23:H23))</f>
        <v>40.5</v>
      </c>
      <c r="J23" s="3" t="str">
        <f aca="false">IF(I23="","",INDEX($D$1:$H$1,MATCH(I23,D23:H23,0)))</f>
        <v>A Shree</v>
      </c>
      <c r="K23" s="5" t="n">
        <f aca="false">IF(I23="","",C23*I23)</f>
        <v>3402000</v>
      </c>
      <c r="L23" s="3" t="n">
        <f aca="false">MIN(Normalized!E23:I23)</f>
        <v>36.48</v>
      </c>
      <c r="M23" s="3" t="str">
        <f aca="false">INDEX(Normalized!$E$1:$I$1,MATCH(L23,Normalized!E23:I23,0))</f>
        <v>B Deccan</v>
      </c>
      <c r="N23" s="5" t="n">
        <f aca="false">C23*L23</f>
        <v>3064320</v>
      </c>
      <c r="O23" s="5" t="n">
        <f aca="false">C23*Normalized!K23</f>
        <v>3444000</v>
      </c>
    </row>
    <row r="24" customFormat="false" ht="15" hidden="false" customHeight="false" outlineLevel="0" collapsed="false">
      <c r="A24" s="3" t="n">
        <f aca="false">Normalized!A24</f>
        <v>23</v>
      </c>
      <c r="B24" s="3" t="str">
        <f aca="false">Normalized!B24</f>
        <v>7-ply corrugated sheet</v>
      </c>
      <c r="C24" s="3" t="n">
        <f aca="false">Normalized!D24</f>
        <v>28000</v>
      </c>
      <c r="D24" s="3" t="n">
        <f aca="false">IF(AND(Eligibility!$D$2=1,ISNUMBER(Normalized!E24)),Normalized!E24,"")</f>
        <v>48.5</v>
      </c>
      <c r="E24" s="3" t="str">
        <f aca="false">IF(AND(Eligibility!$D$3=1,ISNUMBER(Normalized!F24)),Normalized!F24,"")</f>
        <v/>
      </c>
      <c r="F24" s="3" t="n">
        <f aca="false">IF(AND(Eligibility!$D$4=1,ISNUMBER(Normalized!G24)),Normalized!G24,"")</f>
        <v>45</v>
      </c>
      <c r="G24" s="3" t="n">
        <f aca="false">IF(AND(Eligibility!$D$5=1,ISNUMBER(Normalized!H24)),Normalized!H24,"")</f>
        <v>46</v>
      </c>
      <c r="H24" s="3" t="str">
        <f aca="false">IF(AND(Eligibility!$D$6=1,ISNUMBER(Normalized!I24)),Normalized!I24,"")</f>
        <v/>
      </c>
      <c r="I24" s="3" t="n">
        <f aca="false">IF(COUNT(D24:H24)=0,"",MIN(D24:H24))</f>
        <v>45</v>
      </c>
      <c r="J24" s="3" t="str">
        <f aca="false">IF(I24="","",INDEX($D$1:$H$1,MATCH(I24,D24:H24,0)))</f>
        <v>C Pune Box</v>
      </c>
      <c r="K24" s="5" t="n">
        <f aca="false">IF(I24="","",C24*I24)</f>
        <v>1260000</v>
      </c>
      <c r="L24" s="3" t="n">
        <f aca="false">MIN(Normalized!E24:I24)</f>
        <v>41.76</v>
      </c>
      <c r="M24" s="3" t="str">
        <f aca="false">INDEX(Normalized!$E$1:$I$1,MATCH(L24,Normalized!E24:I24,0))</f>
        <v>B Deccan</v>
      </c>
      <c r="N24" s="5" t="n">
        <f aca="false">C24*L24</f>
        <v>1169280</v>
      </c>
      <c r="O24" s="5" t="n">
        <f aca="false">C24*Normalized!K24</f>
        <v>1386000</v>
      </c>
    </row>
    <row r="25" customFormat="false" ht="15" hidden="false" customHeight="false" outlineLevel="0" collapsed="false">
      <c r="A25" s="3" t="n">
        <f aca="false">Normalized!A25</f>
        <v>24</v>
      </c>
      <c r="B25" s="3" t="str">
        <f aca="false">Normalized!B25</f>
        <v>3-ply corrugated roll 1.6 m</v>
      </c>
      <c r="C25" s="3" t="n">
        <f aca="false">Normalized!D25</f>
        <v>21000</v>
      </c>
      <c r="D25" s="3" t="n">
        <f aca="false">IF(AND(Eligibility!$D$2=1,ISNUMBER(Normalized!E25)),Normalized!E25,"")</f>
        <v>38.5</v>
      </c>
      <c r="E25" s="3" t="str">
        <f aca="false">IF(AND(Eligibility!$D$3=1,ISNUMBER(Normalized!F25)),Normalized!F25,"")</f>
        <v/>
      </c>
      <c r="F25" s="3" t="n">
        <f aca="false">IF(AND(Eligibility!$D$4=1,ISNUMBER(Normalized!G25)),Normalized!G25,"")</f>
        <v>39.5</v>
      </c>
      <c r="G25" s="3" t="n">
        <f aca="false">IF(AND(Eligibility!$D$5=1,ISNUMBER(Normalized!H25)),Normalized!H25,"")</f>
        <v>38.5</v>
      </c>
      <c r="H25" s="3" t="str">
        <f aca="false">IF(AND(Eligibility!$D$6=1,ISNUMBER(Normalized!I25)),Normalized!I25,"")</f>
        <v/>
      </c>
      <c r="I25" s="3" t="n">
        <f aca="false">IF(COUNT(D25:H25)=0,"",MIN(D25:H25))</f>
        <v>38.5</v>
      </c>
      <c r="J25" s="3" t="str">
        <f aca="false">IF(I25="","",INDEX($D$1:$H$1,MATCH(I25,D25:H25,0)))</f>
        <v>A Shree</v>
      </c>
      <c r="K25" s="5" t="n">
        <f aca="false">IF(I25="","",C25*I25)</f>
        <v>808500</v>
      </c>
      <c r="L25" s="3" t="n">
        <f aca="false">MIN(Normalized!E25:I25)</f>
        <v>35.52</v>
      </c>
      <c r="M25" s="3" t="str">
        <f aca="false">INDEX(Normalized!$E$1:$I$1,MATCH(L25,Normalized!E25:I25,0))</f>
        <v>B Deccan</v>
      </c>
      <c r="N25" s="5" t="n">
        <f aca="false">C25*L25</f>
        <v>745920</v>
      </c>
      <c r="O25" s="5" t="n">
        <f aca="false">C25*Normalized!K25</f>
        <v>871500</v>
      </c>
    </row>
    <row r="26" customFormat="false" ht="15" hidden="false" customHeight="false" outlineLevel="0" collapsed="false">
      <c r="A26" s="3" t="n">
        <f aca="false">Normalized!A26</f>
        <v>25</v>
      </c>
      <c r="B26" s="3" t="str">
        <f aca="false">Normalized!B26</f>
        <v>5-ply corrugated roll 1.6 m</v>
      </c>
      <c r="C26" s="3" t="n">
        <f aca="false">Normalized!D26</f>
        <v>35000</v>
      </c>
      <c r="D26" s="3" t="n">
        <f aca="false">IF(AND(Eligibility!$D$2=1,ISNUMBER(Normalized!E26)),Normalized!E26,"")</f>
        <v>42</v>
      </c>
      <c r="E26" s="3" t="str">
        <f aca="false">IF(AND(Eligibility!$D$3=1,ISNUMBER(Normalized!F26)),Normalized!F26,"")</f>
        <v/>
      </c>
      <c r="F26" s="3" t="n">
        <f aca="false">IF(AND(Eligibility!$D$4=1,ISNUMBER(Normalized!G26)),Normalized!G26,"")</f>
        <v>41.5</v>
      </c>
      <c r="G26" s="3" t="n">
        <f aca="false">IF(AND(Eligibility!$D$5=1,ISNUMBER(Normalized!H26)),Normalized!H26,"")</f>
        <v>42.5</v>
      </c>
      <c r="H26" s="3" t="str">
        <f aca="false">IF(AND(Eligibility!$D$6=1,ISNUMBER(Normalized!I26)),Normalized!I26,"")</f>
        <v/>
      </c>
      <c r="I26" s="3" t="n">
        <f aca="false">IF(COUNT(D26:H26)=0,"",MIN(D26:H26))</f>
        <v>41.5</v>
      </c>
      <c r="J26" s="3" t="str">
        <f aca="false">IF(I26="","",INDEX($D$1:$H$1,MATCH(I26,D26:H26,0)))</f>
        <v>C Pune Box</v>
      </c>
      <c r="K26" s="5" t="n">
        <f aca="false">IF(I26="","",C26*I26)</f>
        <v>1452500</v>
      </c>
      <c r="L26" s="3" t="n">
        <f aca="false">MIN(Normalized!E26:I26)</f>
        <v>37.44</v>
      </c>
      <c r="M26" s="3" t="str">
        <f aca="false">INDEX(Normalized!$E$1:$I$1,MATCH(L26,Normalized!E26:I26,0))</f>
        <v>B Deccan</v>
      </c>
      <c r="N26" s="5" t="n">
        <f aca="false">C26*L26</f>
        <v>1310400</v>
      </c>
      <c r="O26" s="5" t="n">
        <f aca="false">C26*Normalized!K26</f>
        <v>1557500</v>
      </c>
    </row>
    <row r="27" customFormat="false" ht="15" hidden="false" customHeight="false" outlineLevel="0" collapsed="false">
      <c r="A27" s="3" t="n">
        <f aca="false">Normalized!A27</f>
        <v>26</v>
      </c>
      <c r="B27" s="3" t="str">
        <f aca="false">Normalized!B27</f>
        <v>Edge protector 35x35x3 mm, 1.0 m</v>
      </c>
      <c r="C27" s="3" t="n">
        <f aca="false">Normalized!D27</f>
        <v>1120</v>
      </c>
      <c r="D27" s="3" t="n">
        <f aca="false">IF(AND(Eligibility!$D$2=1,ISNUMBER(Normalized!E27)),Normalized!E27,"")</f>
        <v>301</v>
      </c>
      <c r="E27" s="3" t="str">
        <f aca="false">IF(AND(Eligibility!$D$3=1,ISNUMBER(Normalized!F27)),Normalized!F27,"")</f>
        <v/>
      </c>
      <c r="F27" s="3" t="n">
        <f aca="false">IF(AND(Eligibility!$D$4=1,ISNUMBER(Normalized!G27)),Normalized!G27,"")</f>
        <v>301</v>
      </c>
      <c r="G27" s="3" t="n">
        <f aca="false">IF(AND(Eligibility!$D$5=1,ISNUMBER(Normalized!H27)),Normalized!H27,"")</f>
        <v>293</v>
      </c>
      <c r="H27" s="3" t="str">
        <f aca="false">IF(AND(Eligibility!$D$6=1,ISNUMBER(Normalized!I27)),Normalized!I27,"")</f>
        <v/>
      </c>
      <c r="I27" s="3" t="n">
        <f aca="false">IF(COUNT(D27:H27)=0,"",MIN(D27:H27))</f>
        <v>293</v>
      </c>
      <c r="J27" s="3" t="str">
        <f aca="false">IF(I27="","",INDEX($D$1:$H$1,MATCH(I27,D27:H27,0)))</f>
        <v>D Maruti</v>
      </c>
      <c r="K27" s="5" t="n">
        <f aca="false">IF(I27="","",C27*I27)</f>
        <v>328160</v>
      </c>
      <c r="L27" s="3" t="n">
        <f aca="false">MIN(Normalized!E27:I27)</f>
        <v>276.48</v>
      </c>
      <c r="M27" s="3" t="str">
        <f aca="false">INDEX(Normalized!$E$1:$I$1,MATCH(L27,Normalized!E27:I27,0))</f>
        <v>B Deccan</v>
      </c>
      <c r="N27" s="5" t="n">
        <f aca="false">C27*L27</f>
        <v>309657.6</v>
      </c>
      <c r="O27" s="5" t="n">
        <f aca="false">C27*Normalized!K27</f>
        <v>360640</v>
      </c>
    </row>
    <row r="28" customFormat="false" ht="15" hidden="false" customHeight="false" outlineLevel="0" collapsed="false">
      <c r="A28" s="3" t="n">
        <f aca="false">Normalized!A28</f>
        <v>27</v>
      </c>
      <c r="B28" s="3" t="str">
        <f aca="false">Normalized!B28</f>
        <v>Edge protector 50x50x4 mm, 1.2 m</v>
      </c>
      <c r="C28" s="3" t="n">
        <f aca="false">Normalized!D28</f>
        <v>840</v>
      </c>
      <c r="D28" s="3" t="n">
        <f aca="false">IF(AND(Eligibility!$D$2=1,ISNUMBER(Normalized!E28)),Normalized!E28,"")</f>
        <v>414</v>
      </c>
      <c r="E28" s="3" t="str">
        <f aca="false">IF(AND(Eligibility!$D$3=1,ISNUMBER(Normalized!F28)),Normalized!F28,"")</f>
        <v/>
      </c>
      <c r="F28" s="3" t="n">
        <f aca="false">IF(AND(Eligibility!$D$4=1,ISNUMBER(Normalized!G28)),Normalized!G28,"")</f>
        <v>412</v>
      </c>
      <c r="G28" s="3" t="n">
        <f aca="false">IF(AND(Eligibility!$D$5=1,ISNUMBER(Normalized!H28)),Normalized!H28,"")</f>
        <v>425</v>
      </c>
      <c r="H28" s="3" t="str">
        <f aca="false">IF(AND(Eligibility!$D$6=1,ISNUMBER(Normalized!I28)),Normalized!I28,"")</f>
        <v/>
      </c>
      <c r="I28" s="3" t="n">
        <f aca="false">IF(COUNT(D28:H28)=0,"",MIN(D28:H28))</f>
        <v>412</v>
      </c>
      <c r="J28" s="3" t="str">
        <f aca="false">IF(I28="","",INDEX($D$1:$H$1,MATCH(I28,D28:H28,0)))</f>
        <v>C Pune Box</v>
      </c>
      <c r="K28" s="5" t="n">
        <f aca="false">IF(I28="","",C28*I28)</f>
        <v>346080</v>
      </c>
      <c r="L28" s="3" t="n">
        <f aca="false">MIN(Normalized!E28:I28)</f>
        <v>360.96</v>
      </c>
      <c r="M28" s="3" t="str">
        <f aca="false">INDEX(Normalized!$E$1:$I$1,MATCH(L28,Normalized!E28:I28,0))</f>
        <v>B Deccan</v>
      </c>
      <c r="N28" s="5" t="n">
        <f aca="false">C28*L28</f>
        <v>303206.4</v>
      </c>
      <c r="O28" s="5" t="n">
        <f aca="false">C28*Normalized!K28</f>
        <v>361200</v>
      </c>
    </row>
    <row r="29" customFormat="false" ht="15" hidden="false" customHeight="false" outlineLevel="0" collapsed="false">
      <c r="A29" s="3" t="n">
        <f aca="false">Normalized!A29</f>
        <v>28</v>
      </c>
      <c r="B29" s="3" t="str">
        <f aca="false">Normalized!B29</f>
        <v>Edge protector 50x50x5 mm, 1.5 m</v>
      </c>
      <c r="C29" s="3" t="n">
        <f aca="false">Normalized!D29</f>
        <v>560</v>
      </c>
      <c r="D29" s="3" t="n">
        <f aca="false">IF(AND(Eligibility!$D$2=1,ISNUMBER(Normalized!E29)),Normalized!E29,"")</f>
        <v>574</v>
      </c>
      <c r="E29" s="3" t="str">
        <f aca="false">IF(AND(Eligibility!$D$3=1,ISNUMBER(Normalized!F29)),Normalized!F29,"")</f>
        <v/>
      </c>
      <c r="F29" s="3" t="str">
        <f aca="false">IF(AND(Eligibility!$D$4=1,ISNUMBER(Normalized!G29)),Normalized!G29,"")</f>
        <v/>
      </c>
      <c r="G29" s="3" t="n">
        <f aca="false">IF(AND(Eligibility!$D$5=1,ISNUMBER(Normalized!H29)),Normalized!H29,"")</f>
        <v>561</v>
      </c>
      <c r="H29" s="3" t="str">
        <f aca="false">IF(AND(Eligibility!$D$6=1,ISNUMBER(Normalized!I29)),Normalized!I29,"")</f>
        <v/>
      </c>
      <c r="I29" s="3" t="n">
        <f aca="false">IF(COUNT(D29:H29)=0,"",MIN(D29:H29))</f>
        <v>561</v>
      </c>
      <c r="J29" s="3" t="str">
        <f aca="false">IF(I29="","",INDEX($D$1:$H$1,MATCH(I29,D29:H29,0)))</f>
        <v>D Maruti</v>
      </c>
      <c r="K29" s="5" t="n">
        <f aca="false">IF(I29="","",C29*I29)</f>
        <v>314160</v>
      </c>
      <c r="L29" s="3" t="n">
        <f aca="false">MIN(Normalized!E29:I29)</f>
        <v>506.88</v>
      </c>
      <c r="M29" s="3" t="str">
        <f aca="false">INDEX(Normalized!$E$1:$I$1,MATCH(L29,Normalized!E29:I29,0))</f>
        <v>B Deccan</v>
      </c>
      <c r="N29" s="5" t="n">
        <f aca="false">C29*L29</f>
        <v>283852.8</v>
      </c>
      <c r="O29" s="5" t="n">
        <f aca="false">C29*Normalized!K29</f>
        <v>320880</v>
      </c>
    </row>
    <row r="30" customFormat="false" ht="15" hidden="false" customHeight="false" outlineLevel="0" collapsed="false">
      <c r="A30" s="3" t="n">
        <f aca="false">Normalized!A30</f>
        <v>29</v>
      </c>
      <c r="B30" s="3" t="str">
        <f aca="false">Normalized!B30</f>
        <v>Pallet cap 1200x1000 in</v>
      </c>
      <c r="C30" s="3" t="n">
        <f aca="false">Normalized!D30</f>
        <v>11200</v>
      </c>
      <c r="D30" s="3" t="n">
        <f aca="false">IF(AND(Eligibility!$D$2=1,ISNUMBER(Normalized!E30)),Normalized!E30,"")</f>
        <v>45.05</v>
      </c>
      <c r="E30" s="3" t="str">
        <f aca="false">IF(AND(Eligibility!$D$3=1,ISNUMBER(Normalized!F30)),Normalized!F30,"")</f>
        <v/>
      </c>
      <c r="F30" s="3" t="n">
        <f aca="false">IF(AND(Eligibility!$D$4=1,ISNUMBER(Normalized!G30)),Normalized!G30,"")</f>
        <v>44</v>
      </c>
      <c r="G30" s="3" t="n">
        <f aca="false">IF(AND(Eligibility!$D$5=1,ISNUMBER(Normalized!H30)),Normalized!H30,"")</f>
        <v>46.5</v>
      </c>
      <c r="H30" s="3" t="str">
        <f aca="false">IF(AND(Eligibility!$D$6=1,ISNUMBER(Normalized!I30)),Normalized!I30,"")</f>
        <v/>
      </c>
      <c r="I30" s="3" t="n">
        <f aca="false">IF(COUNT(D30:H30)=0,"",MIN(D30:H30))</f>
        <v>44</v>
      </c>
      <c r="J30" s="3" t="str">
        <f aca="false">IF(I30="","",INDEX($D$1:$H$1,MATCH(I30,D30:H30,0)))</f>
        <v>C Pune Box</v>
      </c>
      <c r="K30" s="5" t="n">
        <f aca="false">IF(I30="","",C30*I30)</f>
        <v>492800</v>
      </c>
      <c r="L30" s="3" t="n">
        <f aca="false">MIN(Normalized!E30:I30)</f>
        <v>41.76</v>
      </c>
      <c r="M30" s="3" t="str">
        <f aca="false">INDEX(Normalized!$E$1:$I$1,MATCH(L30,Normalized!E30:I30,0))</f>
        <v>B Deccan</v>
      </c>
      <c r="N30" s="5" t="n">
        <f aca="false">C30*L30</f>
        <v>467712</v>
      </c>
      <c r="O30" s="5" t="n">
        <f aca="false">C30*Normalized!K30</f>
        <v>532000</v>
      </c>
    </row>
    <row r="31" customFormat="false" ht="15" hidden="false" customHeight="false" outlineLevel="0" collapsed="false">
      <c r="A31" s="3" t="n">
        <f aca="false">Normalized!A31</f>
        <v>30</v>
      </c>
      <c r="B31" s="3" t="str">
        <f aca="false">Normalized!B31</f>
        <v>Pallet cap 1200x800 in</v>
      </c>
      <c r="C31" s="3" t="n">
        <f aca="false">Normalized!D31</f>
        <v>8400</v>
      </c>
      <c r="D31" s="3" t="n">
        <f aca="false">IF(AND(Eligibility!$D$2=1,ISNUMBER(Normalized!E31)),Normalized!E31,"")</f>
        <v>58.65</v>
      </c>
      <c r="E31" s="3" t="str">
        <f aca="false">IF(AND(Eligibility!$D$3=1,ISNUMBER(Normalized!F31)),Normalized!F31,"")</f>
        <v/>
      </c>
      <c r="F31" s="3" t="n">
        <f aca="false">IF(AND(Eligibility!$D$4=1,ISNUMBER(Normalized!G31)),Normalized!G31,"")</f>
        <v>57</v>
      </c>
      <c r="G31" s="3" t="n">
        <f aca="false">IF(AND(Eligibility!$D$5=1,ISNUMBER(Normalized!H31)),Normalized!H31,"")</f>
        <v>58</v>
      </c>
      <c r="H31" s="3" t="str">
        <f aca="false">IF(AND(Eligibility!$D$6=1,ISNUMBER(Normalized!I31)),Normalized!I31,"")</f>
        <v/>
      </c>
      <c r="I31" s="3" t="n">
        <f aca="false">IF(COUNT(D31:H31)=0,"",MIN(D31:H31))</f>
        <v>57</v>
      </c>
      <c r="J31" s="3" t="str">
        <f aca="false">IF(I31="","",INDEX($D$1:$H$1,MATCH(I31,D31:H31,0)))</f>
        <v>C Pune Box</v>
      </c>
      <c r="K31" s="5" t="n">
        <f aca="false">IF(I31="","",C31*I31)</f>
        <v>478800</v>
      </c>
      <c r="L31" s="3" t="n">
        <f aca="false">MIN(Normalized!E31:I31)</f>
        <v>52.32</v>
      </c>
      <c r="M31" s="3" t="str">
        <f aca="false">INDEX(Normalized!$E$1:$I$1,MATCH(L31,Normalized!E31:I31,0))</f>
        <v>B Deccan</v>
      </c>
      <c r="N31" s="5" t="n">
        <f aca="false">C31*L31</f>
        <v>439488</v>
      </c>
      <c r="O31" s="5" t="n">
        <f aca="false">C31*Normalized!K31</f>
        <v>504000</v>
      </c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  <c r="L32" s="3"/>
      <c r="M32" s="3"/>
      <c r="N32" s="5"/>
      <c r="O32" s="5"/>
    </row>
    <row r="33" customFormat="false" ht="15" hidden="false" customHeight="false" outlineLevel="0" collapsed="false">
      <c r="A33" s="6" t="s">
        <v>92</v>
      </c>
      <c r="B33" s="3"/>
      <c r="C33" s="3"/>
      <c r="D33" s="3"/>
      <c r="E33" s="3"/>
      <c r="F33" s="3"/>
      <c r="G33" s="3"/>
      <c r="H33" s="3"/>
      <c r="I33" s="3"/>
      <c r="J33" s="3"/>
      <c r="K33" s="5" t="n">
        <f aca="false">SUM(K2:K31)</f>
        <v>38404800</v>
      </c>
      <c r="L33" s="3"/>
      <c r="M33" s="3"/>
      <c r="N33" s="5" t="n">
        <f aca="false">SUM(N2:N31)</f>
        <v>35217100.8</v>
      </c>
      <c r="O33" s="5" t="n">
        <f aca="false">SUM(O2:O31)</f>
        <v>40534620</v>
      </c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customFormat="false" ht="15" hidden="false" customHeight="false" outlineLevel="0" collapsed="false">
      <c r="A35" s="6" t="s">
        <v>93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Format="false" ht="15" hidden="false" customHeight="false" outlineLevel="0" collapsed="false">
      <c r="A36" s="3" t="s">
        <v>94</v>
      </c>
      <c r="B36" s="5" t="n">
        <f aca="false">K33</f>
        <v>38404800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5" hidden="false" customHeight="false" outlineLevel="0" collapsed="false">
      <c r="A37" s="3" t="s">
        <v>95</v>
      </c>
      <c r="B37" s="5" t="n">
        <f aca="false">N33</f>
        <v>35217100.8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5" hidden="false" customHeight="false" outlineLevel="0" collapsed="false">
      <c r="A38" s="3" t="s">
        <v>96</v>
      </c>
      <c r="B38" s="5" t="n">
        <f aca="false">O33</f>
        <v>40534620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customFormat="false" ht="15" hidden="false" customHeight="false" outlineLevel="0" collapsed="false">
      <c r="A39" s="3" t="s">
        <v>97</v>
      </c>
      <c r="B39" s="5" t="n">
        <f aca="false">B38-B36</f>
        <v>2129820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5" hidden="false" customHeight="false" outlineLevel="0" collapsed="false">
      <c r="A40" s="3" t="s">
        <v>98</v>
      </c>
      <c r="B40" s="7" t="n">
        <f aca="false">IF(B38=0,"",B39/B38)</f>
        <v>0.0525432334138078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customFormat="false" ht="15" hidden="false" customHeight="false" outlineLevel="0" collapsed="false">
      <c r="A41" s="3" t="s">
        <v>99</v>
      </c>
      <c r="B41" s="5" t="n">
        <f aca="false">SUMPRODUCT(Normalized!D2:D31,Normalized!E2:E31)</f>
        <v>39175430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5" hidden="false" customHeight="false" outlineLevel="0" collapsed="false">
      <c r="A42" s="3" t="s">
        <v>100</v>
      </c>
      <c r="B42" s="5" t="n">
        <f aca="false">SUMPRODUCT(Normalized!D2:D31,Normalized!H2:H31)</f>
        <v>39078620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customFormat="false" ht="15" hidden="false" customHeight="false" outlineLevel="0" collapsed="false">
      <c r="A43" s="3" t="s">
        <v>101</v>
      </c>
      <c r="B43" s="5" t="n">
        <f aca="false">MIN(B41,B42)-B36</f>
        <v>673820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5" hidden="false" customHeight="false" outlineLevel="0" collapsed="false">
      <c r="A44" s="3" t="s">
        <v>102</v>
      </c>
      <c r="B44" s="8" t="n">
        <f aca="false">COUNT(Normalized!G2:G31)</f>
        <v>27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5" hidden="false" customHeight="false" outlineLevel="0" collapsed="false">
      <c r="A45" s="3" t="s">
        <v>103</v>
      </c>
      <c r="B45" s="8" t="n">
        <f aca="false">COUNT(Normalized!I2:I31)</f>
        <v>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00"/>
  </cols>
  <sheetData>
    <row r="1" customFormat="false" ht="15" hidden="false" customHeight="false" outlineLevel="0" collapsed="false">
      <c r="A1" s="4" t="s">
        <v>64</v>
      </c>
      <c r="B1" s="4" t="s">
        <v>104</v>
      </c>
      <c r="C1" s="4" t="s">
        <v>105</v>
      </c>
      <c r="D1" s="4" t="s">
        <v>106</v>
      </c>
    </row>
    <row r="2" customFormat="false" ht="23.85" hidden="false" customHeight="false" outlineLevel="0" collapsed="false">
      <c r="A2" s="9" t="s">
        <v>11</v>
      </c>
      <c r="B2" s="9" t="s">
        <v>107</v>
      </c>
      <c r="C2" s="9" t="s">
        <v>108</v>
      </c>
      <c r="D2" s="9" t="s">
        <v>109</v>
      </c>
    </row>
    <row r="3" customFormat="false" ht="23.85" hidden="false" customHeight="false" outlineLevel="0" collapsed="false">
      <c r="A3" s="9" t="s">
        <v>12</v>
      </c>
      <c r="B3" s="9" t="s">
        <v>110</v>
      </c>
      <c r="C3" s="9" t="s">
        <v>111</v>
      </c>
      <c r="D3" s="9" t="s">
        <v>112</v>
      </c>
    </row>
    <row r="4" customFormat="false" ht="15" hidden="false" customHeight="false" outlineLevel="0" collapsed="false">
      <c r="A4" s="9" t="s">
        <v>12</v>
      </c>
      <c r="B4" s="9" t="s">
        <v>113</v>
      </c>
      <c r="C4" s="9" t="s">
        <v>114</v>
      </c>
      <c r="D4" s="9" t="s">
        <v>115</v>
      </c>
    </row>
    <row r="5" customFormat="false" ht="15" hidden="false" customHeight="false" outlineLevel="0" collapsed="false">
      <c r="A5" s="9" t="s">
        <v>12</v>
      </c>
      <c r="B5" s="9" t="s">
        <v>116</v>
      </c>
      <c r="C5" s="9" t="s">
        <v>117</v>
      </c>
      <c r="D5" s="9" t="s">
        <v>118</v>
      </c>
    </row>
    <row r="6" customFormat="false" ht="15" hidden="false" customHeight="false" outlineLevel="0" collapsed="false">
      <c r="A6" s="9" t="s">
        <v>12</v>
      </c>
      <c r="B6" s="9" t="s">
        <v>119</v>
      </c>
      <c r="C6" s="9" t="s">
        <v>120</v>
      </c>
      <c r="D6" s="9" t="s">
        <v>121</v>
      </c>
    </row>
    <row r="7" customFormat="false" ht="15" hidden="false" customHeight="false" outlineLevel="0" collapsed="false">
      <c r="A7" s="9" t="s">
        <v>13</v>
      </c>
      <c r="B7" s="9" t="s">
        <v>122</v>
      </c>
      <c r="C7" s="9" t="s">
        <v>123</v>
      </c>
      <c r="D7" s="9" t="s">
        <v>124</v>
      </c>
    </row>
    <row r="8" customFormat="false" ht="23.85" hidden="false" customHeight="false" outlineLevel="0" collapsed="false">
      <c r="A8" s="9" t="s">
        <v>13</v>
      </c>
      <c r="B8" s="9" t="s">
        <v>125</v>
      </c>
      <c r="C8" s="9" t="s">
        <v>126</v>
      </c>
      <c r="D8" s="9" t="s">
        <v>127</v>
      </c>
    </row>
    <row r="9" customFormat="false" ht="15" hidden="false" customHeight="false" outlineLevel="0" collapsed="false">
      <c r="A9" s="9" t="s">
        <v>14</v>
      </c>
      <c r="B9" s="9" t="s">
        <v>128</v>
      </c>
      <c r="C9" s="9" t="s">
        <v>129</v>
      </c>
      <c r="D9" s="9" t="s">
        <v>130</v>
      </c>
    </row>
    <row r="10" customFormat="false" ht="15" hidden="false" customHeight="false" outlineLevel="0" collapsed="false">
      <c r="A10" s="9" t="s">
        <v>14</v>
      </c>
      <c r="B10" s="9" t="s">
        <v>131</v>
      </c>
      <c r="C10" s="9" t="s">
        <v>120</v>
      </c>
      <c r="D10" s="9" t="s">
        <v>132</v>
      </c>
    </row>
    <row r="11" customFormat="false" ht="23.85" hidden="false" customHeight="false" outlineLevel="0" collapsed="false">
      <c r="A11" s="9" t="s">
        <v>82</v>
      </c>
      <c r="B11" s="9" t="s">
        <v>133</v>
      </c>
      <c r="C11" s="9" t="s">
        <v>134</v>
      </c>
      <c r="D11" s="9" t="s">
        <v>135</v>
      </c>
    </row>
    <row r="12" customFormat="false" ht="15" hidden="false" customHeight="false" outlineLevel="0" collapsed="false">
      <c r="A12" s="9" t="s">
        <v>82</v>
      </c>
      <c r="B12" s="9" t="s">
        <v>136</v>
      </c>
      <c r="C12" s="9" t="s">
        <v>137</v>
      </c>
      <c r="D12" s="9" t="s">
        <v>138</v>
      </c>
    </row>
    <row r="13" customFormat="false" ht="15" hidden="false" customHeight="false" outlineLevel="0" collapsed="false">
      <c r="A13" s="9" t="s">
        <v>82</v>
      </c>
      <c r="B13" s="9" t="s">
        <v>139</v>
      </c>
      <c r="C13" s="9" t="s">
        <v>120</v>
      </c>
      <c r="D13" s="9" t="s">
        <v>140</v>
      </c>
    </row>
    <row r="14" customFormat="false" ht="23.85" hidden="false" customHeight="false" outlineLevel="0" collapsed="false">
      <c r="A14" s="9" t="s">
        <v>82</v>
      </c>
      <c r="B14" s="9" t="s">
        <v>141</v>
      </c>
      <c r="C14" s="9" t="s">
        <v>142</v>
      </c>
      <c r="D14" s="9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4" t="s">
        <v>64</v>
      </c>
      <c r="B1" s="4" t="s">
        <v>144</v>
      </c>
      <c r="C1" s="4" t="s">
        <v>145</v>
      </c>
      <c r="D1" s="4" t="s">
        <v>146</v>
      </c>
      <c r="E1" s="4" t="s">
        <v>147</v>
      </c>
      <c r="F1" s="4" t="s">
        <v>68</v>
      </c>
    </row>
    <row r="2" customFormat="false" ht="15" hidden="false" customHeight="false" outlineLevel="0" collapsed="false">
      <c r="A2" s="9" t="s">
        <v>11</v>
      </c>
      <c r="B2" s="9" t="s">
        <v>148</v>
      </c>
      <c r="C2" s="9" t="s">
        <v>149</v>
      </c>
      <c r="D2" s="9" t="s">
        <v>150</v>
      </c>
      <c r="E2" s="9" t="s">
        <v>151</v>
      </c>
      <c r="F2" s="9" t="n">
        <v>14</v>
      </c>
    </row>
    <row r="3" customFormat="false" ht="15" hidden="false" customHeight="false" outlineLevel="0" collapsed="false">
      <c r="A3" s="9" t="s">
        <v>12</v>
      </c>
      <c r="B3" s="9" t="s">
        <v>152</v>
      </c>
      <c r="C3" s="9" t="s">
        <v>153</v>
      </c>
      <c r="D3" s="9" t="s">
        <v>150</v>
      </c>
      <c r="E3" s="9" t="s">
        <v>151</v>
      </c>
      <c r="F3" s="9" t="n">
        <v>10</v>
      </c>
    </row>
    <row r="4" customFormat="false" ht="15" hidden="false" customHeight="false" outlineLevel="0" collapsed="false">
      <c r="A4" s="9" t="s">
        <v>13</v>
      </c>
      <c r="B4" s="9" t="s">
        <v>154</v>
      </c>
      <c r="C4" s="9" t="s">
        <v>153</v>
      </c>
      <c r="D4" s="9" t="s">
        <v>155</v>
      </c>
      <c r="E4" s="9" t="s">
        <v>151</v>
      </c>
      <c r="F4" s="9" t="n">
        <v>10</v>
      </c>
    </row>
    <row r="5" customFormat="false" ht="15" hidden="false" customHeight="false" outlineLevel="0" collapsed="false">
      <c r="A5" s="9" t="s">
        <v>14</v>
      </c>
      <c r="B5" s="9" t="s">
        <v>156</v>
      </c>
      <c r="C5" s="9" t="s">
        <v>150</v>
      </c>
      <c r="D5" s="9" t="s">
        <v>150</v>
      </c>
      <c r="E5" s="9" t="s">
        <v>151</v>
      </c>
      <c r="F5" s="9" t="n">
        <v>12</v>
      </c>
    </row>
    <row r="6" customFormat="false" ht="15" hidden="false" customHeight="false" outlineLevel="0" collapsed="false">
      <c r="A6" s="9" t="s">
        <v>82</v>
      </c>
      <c r="B6" s="9" t="s">
        <v>157</v>
      </c>
      <c r="C6" s="9" t="s">
        <v>83</v>
      </c>
      <c r="D6" s="9" t="s">
        <v>83</v>
      </c>
      <c r="E6" s="9" t="s">
        <v>83</v>
      </c>
      <c r="F6" s="9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2026-10-01T05:18:12Z</dcterms:created>
  <dc:creator>openpyxl</dc:creator>
  <dc:description/>
  <dc:language>en-US</dc:language>
  <cp:lastModifiedBy/>
  <dcterms:modified xsi:type="dcterms:W3CDTF">2026-10-01T05:18:12Z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